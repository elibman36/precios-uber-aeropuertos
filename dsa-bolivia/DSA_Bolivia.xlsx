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Supuestos" sheetId="2" state="visible" r:id="rId4"/>
    <sheet name="Externo" sheetId="3" state="visible" r:id="rId5"/>
    <sheet name="Fiscal_Deuda" sheetId="4" state="visible" r:id="rId6"/>
    <sheet name="Indicadores" sheetId="5" state="visible" r:id="rId7"/>
    <sheet name="Escenarios" sheetId="6" state="visible" r:id="rId8"/>
    <sheet name="Estocastico" sheetId="7" state="visible" r:id="rId9"/>
    <sheet name="FMI_vs_Modelo" sheetId="8" state="visible" r:id="rId10"/>
    <sheet name="Fuen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82" authorId="0">
      <text>
        <r>
          <rPr>
            <sz val="10"/>
            <rFont val="Arial"/>
            <family val="2"/>
          </rPr>
          <t xml:space="preserve">Calibrado en modelo.py: ajuste del TCR 2027-29 que lleva la deuda a 89,2% del PIB en 2029 (cifra del FMI) con los mismos déficits del programa.</t>
        </r>
      </text>
    </comment>
  </commentList>
</comments>
</file>

<file path=xl/sharedStrings.xml><?xml version="1.0" encoding="utf-8"?>
<sst xmlns="http://schemas.openxmlformats.org/spreadsheetml/2006/main" count="825" uniqueCount="397">
  <si>
    <t xml:space="preserve">Bolivia: análisis de sostenibilidad de deuda con bloque externo integrado</t>
  </si>
  <si>
    <t xml:space="preserve">Modelo anual 2025-2035. Deuda pública del SPNF + balanza de pagos + reservas + tipo de cambio endógeno. Elaborado el 14-oct-2026 con información pública disponible a esa fecha.</t>
  </si>
  <si>
    <t xml:space="preserve">Cómo usarlo</t>
  </si>
  <si>
    <t xml:space="preserve">Cambie C6 para ver cualquier escenario en las hojas Externo, Fiscal_Deuda e Indicadores. Insumos en azul (hoja Supuestos). Las hojas Escenarios y Estocastico son salidas del motor en Python (modelo.py), con las mismas ecuaciones.</t>
  </si>
  <si>
    <t xml:space="preserve">Escenario activo (1-8) ►</t>
  </si>
  <si>
    <t xml:space="preserve">Resultados clave (escenario activo, fórmulas vivas)</t>
  </si>
  <si>
    <t xml:space="preserve">Indicador</t>
  </si>
  <si>
    <t xml:space="preserve">2026</t>
  </si>
  <si>
    <t xml:space="preserve">2027</t>
  </si>
  <si>
    <t xml:space="preserve">2029</t>
  </si>
  <si>
    <t xml:space="preserve">2031</t>
  </si>
  <si>
    <t xml:space="preserve">2035</t>
  </si>
  <si>
    <t xml:space="preserve">Deuda pública / PIB</t>
  </si>
  <si>
    <t xml:space="preserve">Deuda neta de BCB / PIB</t>
  </si>
  <si>
    <t xml:space="preserve">NBF / PIB</t>
  </si>
  <si>
    <t xml:space="preserve">Balance global / PIB</t>
  </si>
  <si>
    <t xml:space="preserve">Deuda externa total / PIB</t>
  </si>
  <si>
    <t xml:space="preserve">Servicio deuda ext. / export.</t>
  </si>
  <si>
    <t xml:space="preserve">Cuenta corriente / PIB</t>
  </si>
  <si>
    <t xml:space="preserve">Reservas brutas (USD mm M)</t>
  </si>
  <si>
    <t xml:space="preserve">Reservas (meses de import.)</t>
  </si>
  <si>
    <t xml:space="preserve">Tipo de cambio (Bs/USD)</t>
  </si>
  <si>
    <t xml:space="preserve">Depreciación de ajuste endógena</t>
  </si>
  <si>
    <t xml:space="preserve">Lectura de colores</t>
  </si>
  <si>
    <t xml:space="preserve">Azul</t>
  </si>
  <si>
    <t xml:space="preserve">insumo editable</t>
  </si>
  <si>
    <t xml:space="preserve">Negro</t>
  </si>
  <si>
    <t xml:space="preserve">fórmula</t>
  </si>
  <si>
    <t xml:space="preserve">Verde</t>
  </si>
  <si>
    <t xml:space="preserve">vínculo a otra hoja</t>
  </si>
  <si>
    <t xml:space="preserve">Fondo amarillo</t>
  </si>
  <si>
    <t xml:space="preserve">supuesto clave / selector</t>
  </si>
  <si>
    <t xml:space="preserve">Fondo gris</t>
  </si>
  <si>
    <t xml:space="preserve">2025 dato, 2026 estimación</t>
  </si>
  <si>
    <t xml:space="preserve">Supuestos del modelo</t>
  </si>
  <si>
    <t xml:space="preserve">Celdas en azul = insumos editables. Gris = 2025 (dato) y 2026 (estimación). Amarillo = supuestos clave. Los escenarios aplican choques sobre estas sendas a partir de 2027.</t>
  </si>
  <si>
    <t xml:space="preserve">dato</t>
  </si>
  <si>
    <t xml:space="preserve">estim.</t>
  </si>
  <si>
    <t xml:space="preserve">Concepto</t>
  </si>
  <si>
    <t xml:space="preserve">Unidad</t>
  </si>
  <si>
    <t xml:space="preserve">2025</t>
  </si>
  <si>
    <t xml:space="preserve">2028</t>
  </si>
  <si>
    <t xml:space="preserve">2030</t>
  </si>
  <si>
    <t xml:space="preserve">2032</t>
  </si>
  <si>
    <t xml:space="preserve">2033</t>
  </si>
  <si>
    <t xml:space="preserve">2034</t>
  </si>
  <si>
    <t xml:space="preserve">Nota / fuente</t>
  </si>
  <si>
    <t xml:space="preserve">Macro</t>
  </si>
  <si>
    <t xml:space="preserve">Crecimiento real (base)</t>
  </si>
  <si>
    <t xml:space="preserve">%</t>
  </si>
  <si>
    <t xml:space="preserve">2025: INE. 2026-28: FMI (WEO oct-2026 / staff report EFF). 2029+: supuesto propio</t>
  </si>
  <si>
    <t xml:space="preserve">Deflactor del PIB (base)</t>
  </si>
  <si>
    <t xml:space="preserve">Supuesto propio; FMI: IPC prom. 12,7% (2026), 15,8% (2027)</t>
  </si>
  <si>
    <t xml:space="preserve">Inflación EE.UU.</t>
  </si>
  <si>
    <t xml:space="preserve">Supuesto</t>
  </si>
  <si>
    <t xml:space="preserve">Var. tipo de cambio real (base; + = depreciación)</t>
  </si>
  <si>
    <t xml:space="preserve">Corrección parcial del overshooting post-flotación (jun-2026)</t>
  </si>
  <si>
    <t xml:space="preserve">Tipo de cambio fin de año (dato/estim.)</t>
  </si>
  <si>
    <t xml:space="preserve">Bs/USD</t>
  </si>
  <si>
    <t xml:space="preserve">6,96 (2025, oficial); ~11,7-11,8 oct-2026 (BCB, flotación desde RM 245/2026)</t>
  </si>
  <si>
    <t xml:space="preserve">Precios externos (índice 2025=100)</t>
  </si>
  <si>
    <t xml:space="preserve">Precios metales preciosos (plata/oro, export.)</t>
  </si>
  <si>
    <t xml:space="preserve">índice</t>
  </si>
  <si>
    <t xml:space="preserve">Calibrado: export. minerales +91% en valor con -12% volumen (IBCE, 1S-2026)</t>
  </si>
  <si>
    <t xml:space="preserve">Precios metales base (zinc, estaño, plomo)</t>
  </si>
  <si>
    <t xml:space="preserve">Precio petróleo (Brent)</t>
  </si>
  <si>
    <t xml:space="preserve">Supuesto; gas a Brasil indexado con 1 año de rezago</t>
  </si>
  <si>
    <t xml:space="preserve">Precio del oro (valuación reservas)</t>
  </si>
  <si>
    <t xml:space="preserve">Var. precios agro (soya y otros)</t>
  </si>
  <si>
    <t xml:space="preserve">Supuesto: plano</t>
  </si>
  <si>
    <t xml:space="preserve">Volúmenes (var. anual)</t>
  </si>
  <si>
    <t xml:space="preserve">Volumen metales preciosos</t>
  </si>
  <si>
    <t xml:space="preserve">Volumen metales base</t>
  </si>
  <si>
    <t xml:space="preserve">Volumen exportado de gas</t>
  </si>
  <si>
    <t xml:space="preserve">Declinación de campos maduros; export. de gas -33% en 2025 (INE)</t>
  </si>
  <si>
    <t xml:space="preserve">Volumen agro</t>
  </si>
  <si>
    <t xml:space="preserve">Volumen importado de combustibles</t>
  </si>
  <si>
    <t xml:space="preserve">Fin de subsidios reduce contrabando; luego crece con actividad</t>
  </si>
  <si>
    <t xml:space="preserve">Balanza de pagos: valores iniciales (USD miles de millones)</t>
  </si>
  <si>
    <t xml:space="preserve">Export. metales preciosos</t>
  </si>
  <si>
    <t xml:space="preserve">USD mm M</t>
  </si>
  <si>
    <t xml:space="preserve">2025: BCB/INE aprox.; 2026: anualización ene-ago (INE: USD 8.987 M acumulado)</t>
  </si>
  <si>
    <t xml:space="preserve">Export. metales base</t>
  </si>
  <si>
    <t xml:space="preserve">Ídem</t>
  </si>
  <si>
    <t xml:space="preserve">Export. hidrocarburos</t>
  </si>
  <si>
    <t xml:space="preserve">2025: gas USD 1.077 M + otros (INE); 1S-2026: USD 498 M</t>
  </si>
  <si>
    <t xml:space="preserve">Export. agro (soya y derivados, otros)</t>
  </si>
  <si>
    <t xml:space="preserve">Export. resto (manufacturas no tradicionales)</t>
  </si>
  <si>
    <t xml:space="preserve">Import. combustibles</t>
  </si>
  <si>
    <t xml:space="preserve">Estimación propia</t>
  </si>
  <si>
    <t xml:space="preserve">Import. resto (FOB)</t>
  </si>
  <si>
    <t xml:space="preserve">2025 calibrado a balanza de bienes +0,33 (BCB)</t>
  </si>
  <si>
    <t xml:space="preserve">Servicios (neto)</t>
  </si>
  <si>
    <t xml:space="preserve">BCB, BoP 2025; 2026 estim.</t>
  </si>
  <si>
    <t xml:space="preserve">Ingreso secundario (remesas, neto)</t>
  </si>
  <si>
    <t xml:space="preserve">BCB; 2026 estim.</t>
  </si>
  <si>
    <t xml:space="preserve">Cuenta financiera (USD miles de millones, flujos)</t>
  </si>
  <si>
    <t xml:space="preserve">IED neta</t>
  </si>
  <si>
    <t xml:space="preserve">Supuesto: recuperación gradual con nueva ley de hidrocarburos/litio</t>
  </si>
  <si>
    <t xml:space="preserve">Desembolsos deuda externa pública (excl. FMI)</t>
  </si>
  <si>
    <t xml:space="preserve">&gt;USD 1.000 M BM/BID nov-dic 2026; ~USD 5.000 M esperados de otros acreedores durante el programa</t>
  </si>
  <si>
    <t xml:space="preserve">Amortizaciones deuda externa pública</t>
  </si>
  <si>
    <t xml:space="preserve">Estimación propia de cronograma (multilateral + bilateral + bonos 2028/2030 en manos externas)</t>
  </si>
  <si>
    <t xml:space="preserve">Reperfilamiento: alivio (bilateral + bonos)</t>
  </si>
  <si>
    <t xml:space="preserve">Sólo activo en escenario de reperfilamiento: diferimiento 5 años</t>
  </si>
  <si>
    <t xml:space="preserve">Reperfilamiento: repago diferido</t>
  </si>
  <si>
    <t xml:space="preserve">Desembolsos FMI (SAF)</t>
  </si>
  <si>
    <t xml:space="preserve">SAF 36 meses, DEG 1.369 M (~USD 1.900 M); USD 214 M en oct-2026</t>
  </si>
  <si>
    <t xml:space="preserve">Otros flujos privados netos (incl. errores y omisiones)</t>
  </si>
  <si>
    <t xml:space="preserve">2026 calibrado a reservas ~5,2 mm M fin de año</t>
  </si>
  <si>
    <t xml:space="preserve">Fiscal y deuda</t>
  </si>
  <si>
    <t xml:space="preserve">Balance primario no-commodity (SPNF)</t>
  </si>
  <si>
    <t xml:space="preserve">% PIB</t>
  </si>
  <si>
    <t xml:space="preserve">Calibrado para replicar el déficit global del programa: 9,2% (2026), 6,7% (2027), 4,5% (2028), 3,2% (2029), 3,0% después</t>
  </si>
  <si>
    <t xml:space="preserve">Subsidio a combustibles / import. combustibles</t>
  </si>
  <si>
    <t xml:space="preserve">Eliminación dic-2025; remanente se elimina en 2027 (mecanismo automático)</t>
  </si>
  <si>
    <t xml:space="preserve">Tasa efectiva deuda interna</t>
  </si>
  <si>
    <t xml:space="preserve">Supuesto: sube a medida que se corta financiamiento BCB</t>
  </si>
  <si>
    <t xml:space="preserve">Tasa efectiva deuda externa pública</t>
  </si>
  <si>
    <t xml:space="preserve">Supuesto (multilateral SOFR+, bonos 4,5%/7,5%)</t>
  </si>
  <si>
    <t xml:space="preserve">Deuda interna en moneda local en manos del BCB</t>
  </si>
  <si>
    <t xml:space="preserve">BCB ~54,6% de la deuda interna (Jubileo/ANF); cae 2 pp/año</t>
  </si>
  <si>
    <t xml:space="preserve">Deuda interna en USD o indexada (MVDOL)</t>
  </si>
  <si>
    <t xml:space="preserve">Supuesto; incluye bonos canjeados a MVDOL (mar-2026)</t>
  </si>
  <si>
    <t xml:space="preserve">Parámetros (elasticidades, umbrales y anclas 2025)</t>
  </si>
  <si>
    <t xml:space="preserve">Renta fiscal hidrocarburos / valor exportado</t>
  </si>
  <si>
    <t xml:space="preserve">IDH 32% + regalías 18% sobre valor en boca de pozo, neto</t>
  </si>
  <si>
    <t xml:space="preserve">Renta fiscal minera / valor exportado</t>
  </si>
  <si>
    <t xml:space="preserve">Regalías + IUE; baja por peso de cooperativas</t>
  </si>
  <si>
    <t xml:space="preserve">Elasticidad export. no tradicionales al TCR</t>
  </si>
  <si>
    <t xml:space="preserve">Elasticidad import. al TCR</t>
  </si>
  <si>
    <t xml:space="preserve">Elasticidad ingreso de importaciones</t>
  </si>
  <si>
    <t xml:space="preserve">Elasticidad de corto plazo para cerrar brecha externa</t>
  </si>
  <si>
    <t xml:space="preserve">Devaluación requerida = brecha / (elasticidad x import.)</t>
  </si>
  <si>
    <t xml:space="preserve">Costo en crecimiento por punto de devaluación de ajuste</t>
  </si>
  <si>
    <t xml:space="preserve">Devaluación contractiva (efecto hoja de balance + compresión de import.)</t>
  </si>
  <si>
    <t xml:space="preserve">Pass-through de la devaluación al deflactor</t>
  </si>
  <si>
    <t xml:space="preserve">Piso duro de reservas</t>
  </si>
  <si>
    <t xml:space="preserve">Meses de importaciones</t>
  </si>
  <si>
    <t xml:space="preserve">Nivel cómodo de reservas</t>
  </si>
  <si>
    <t xml:space="preserve">Fracción de la brecha vs nivel cómodo cerrada vía tipo de cambio</t>
  </si>
  <si>
    <t xml:space="preserve">Regla de flotación administrada</t>
  </si>
  <si>
    <t xml:space="preserve">Propensión a importar del impulso fiscal</t>
  </si>
  <si>
    <t xml:space="preserve">Déficits gemelos: cada punto de desliz fiscal eleva import.</t>
  </si>
  <si>
    <t xml:space="preserve">Inflación externa en USD</t>
  </si>
  <si>
    <t xml:space="preserve">Crecimiento nominal de demanda externa</t>
  </si>
  <si>
    <t xml:space="preserve">Remisión de utilidades / export. extractivas</t>
  </si>
  <si>
    <t xml:space="preserve">Fuga del boom minero vía ingreso primario</t>
  </si>
  <si>
    <t xml:space="preserve">Crecimiento de remesas</t>
  </si>
  <si>
    <t xml:space="preserve">Costo del crédito FMI (tasa DEG + margen + recargos)</t>
  </si>
  <si>
    <t xml:space="preserve">Vida media deuda interna</t>
  </si>
  <si>
    <t xml:space="preserve">Años; determina amortizaciones internas en NBF</t>
  </si>
  <si>
    <t xml:space="preserve">Fracción de deuda externa privada que vence en el año</t>
  </si>
  <si>
    <t xml:space="preserve">Para ratio Greenspan-Guidotti</t>
  </si>
  <si>
    <t xml:space="preserve">Deuda externa privada 2026</t>
  </si>
  <si>
    <t xml:space="preserve">USD mm M; supuesto</t>
  </si>
  <si>
    <t xml:space="preserve">PIB nominal 2025</t>
  </si>
  <si>
    <t xml:space="preserve">Bs mm M = USD 55.000 M (CEPAL) x 6,96</t>
  </si>
  <si>
    <t xml:space="preserve">Deuda externa pública dic-2025</t>
  </si>
  <si>
    <t xml:space="preserve">USD mm M; BCB (USD 14.117 M a sep-2026 = 47 M menos que dic-2025)</t>
  </si>
  <si>
    <t xml:space="preserve">Deuda interna en moneda local dic-2025</t>
  </si>
  <si>
    <t xml:space="preserve">Bs mm M; calibrado para deuda total = 83,3% PIB (FMI)</t>
  </si>
  <si>
    <t xml:space="preserve">Reservas en oro dic-2025</t>
  </si>
  <si>
    <t xml:space="preserve">USD mm M; estimación</t>
  </si>
  <si>
    <t xml:space="preserve">Reservas no-oro dic-2025</t>
  </si>
  <si>
    <t xml:space="preserve">USD mm M; total ~3.813 M (MEFP)</t>
  </si>
  <si>
    <t xml:space="preserve">Balance global SPNF 2025</t>
  </si>
  <si>
    <t xml:space="preserve">FMI: -11,4% PIB</t>
  </si>
  <si>
    <t xml:space="preserve">Crédito FMI vigente dic-2025</t>
  </si>
  <si>
    <t xml:space="preserve">Balance primario SPNF 2025</t>
  </si>
  <si>
    <t xml:space="preserve">Estimación</t>
  </si>
  <si>
    <t xml:space="preserve">Escenarios: parámetros de choque (se aplican desde 2027)</t>
  </si>
  <si>
    <t xml:space="preserve">#</t>
  </si>
  <si>
    <t xml:space="preserve">Escenario</t>
  </si>
  <si>
    <t xml:space="preserve">Shock nivel precios metales preciosos y oro</t>
  </si>
  <si>
    <t xml:space="preserve">Shock nivel metales base</t>
  </si>
  <si>
    <t xml:space="preserve">Shock nivel petróleo</t>
  </si>
  <si>
    <t xml:space="preserve">Declinación extra vol. gas (pp/año)</t>
  </si>
  <si>
    <t xml:space="preserve">Desliz fiscal (pp PIB, bal. primario)</t>
  </si>
  <si>
    <t xml:space="preserve">Shock crecimiento 2027-28 (pp)</t>
  </si>
  <si>
    <t xml:space="preserve">Ajuste TCR 2027-29 (pp/año)</t>
  </si>
  <si>
    <t xml:space="preserve">Shock flujos privados (USD mm M/año)</t>
  </si>
  <si>
    <t xml:space="preserve">Multiplicador IED</t>
  </si>
  <si>
    <t xml:space="preserve">Reperfilamiento (1 = sí)</t>
  </si>
  <si>
    <t xml:space="preserve">Retorno de subsidio (fracción import. comb.)</t>
  </si>
  <si>
    <t xml:space="preserve">Pasivos contingentes 2027 (% PIB)</t>
  </si>
  <si>
    <t xml:space="preserve">Base</t>
  </si>
  <si>
    <t xml:space="preserve">Réplica FMI (TCR que replica su sendero)</t>
  </si>
  <si>
    <t xml:space="preserve">Reversión de metales preciosos</t>
  </si>
  <si>
    <t xml:space="preserve">Declive acelerado del gas + petróleo caro</t>
  </si>
  <si>
    <t xml:space="preserve">Desliz fiscal (-2 pp PIB)</t>
  </si>
  <si>
    <t xml:space="preserve">Salida de capitales / menos IED</t>
  </si>
  <si>
    <t xml:space="preserve">Combinado (tormenta)</t>
  </si>
  <si>
    <t xml:space="preserve">Base + reperfilamiento bilateral/bonos</t>
  </si>
  <si>
    <t xml:space="preserve">►</t>
  </si>
  <si>
    <t xml:space="preserve">Escenario activo (según Portada)</t>
  </si>
  <si>
    <t xml:space="preserve">Bloque externo: balanza de pagos, reservas y ajuste cambiario</t>
  </si>
  <si>
    <t xml:space="preserve">USD miles de millones salvo indicación. La brecha frente al nivel cómodo/piso de reservas se cierra con depreciación endógena, que retroalimenta deuda, crecimiento e inflación (hoja Fiscal_Deuda).</t>
  </si>
  <si>
    <t xml:space="preserve">Precios efectivos (escenario activo)</t>
  </si>
  <si>
    <t xml:space="preserve">Precios metales preciosos</t>
  </si>
  <si>
    <t xml:space="preserve">Precios metales base</t>
  </si>
  <si>
    <t xml:space="preserve">Precio petróleo</t>
  </si>
  <si>
    <t xml:space="preserve">Precio oro</t>
  </si>
  <si>
    <t xml:space="preserve">Var. TCR exógena</t>
  </si>
  <si>
    <t xml:space="preserve">Depreciación real efectiva (incl. rezago de ajuste)</t>
  </si>
  <si>
    <t xml:space="preserve">Crecimiento real antes del ajuste externo</t>
  </si>
  <si>
    <t xml:space="preserve">Cuenta corriente (USD miles de millones)</t>
  </si>
  <si>
    <t xml:space="preserve">Export. agro</t>
  </si>
  <si>
    <t xml:space="preserve">Export. resto</t>
  </si>
  <si>
    <t xml:space="preserve">Exportaciones de bienes</t>
  </si>
  <si>
    <t xml:space="preserve">Import. resto antes del ajuste</t>
  </si>
  <si>
    <t xml:space="preserve">Import. resto (después del ajuste)</t>
  </si>
  <si>
    <t xml:space="preserve">Importaciones de bienes</t>
  </si>
  <si>
    <t xml:space="preserve">Utilidades remitidas (extractivas)</t>
  </si>
  <si>
    <t xml:space="preserve">Intereses deuda externa pública</t>
  </si>
  <si>
    <t xml:space="preserve">Cargos FMI</t>
  </si>
  <si>
    <t xml:space="preserve">Ingreso secundario (remesas)</t>
  </si>
  <si>
    <t xml:space="preserve">Cuenta corriente antes del ajuste</t>
  </si>
  <si>
    <t xml:space="preserve">Cuenta corriente</t>
  </si>
  <si>
    <t xml:space="preserve">Cuenta financiera y reservas (USD miles de millones)</t>
  </si>
  <si>
    <t xml:space="preserve">Desembolsos deuda externa pública</t>
  </si>
  <si>
    <t xml:space="preserve">Desembolsos FMI</t>
  </si>
  <si>
    <t xml:space="preserve">Recompras FMI (4,5-10 años)</t>
  </si>
  <si>
    <t xml:space="preserve">Crédito FMI vigente</t>
  </si>
  <si>
    <t xml:space="preserve">Otros flujos privados netos</t>
  </si>
  <si>
    <t xml:space="preserve">Reservas en oro (valuación)</t>
  </si>
  <si>
    <t xml:space="preserve">Reservas no-oro antes del ajuste</t>
  </si>
  <si>
    <t xml:space="preserve">Reservas antes del ajuste</t>
  </si>
  <si>
    <t xml:space="preserve">Brecha externa cerrada vía tipo de cambio</t>
  </si>
  <si>
    <t xml:space="preserve">Depreciación nominal de ajuste (endógena)</t>
  </si>
  <si>
    <t xml:space="preserve">Reservas internacionales brutas</t>
  </si>
  <si>
    <t xml:space="preserve">Bloque fiscal y dinámica de deuda pública (SPNF)</t>
  </si>
  <si>
    <t xml:space="preserve">Bs miles de millones salvo indicación. Ingresos por hidrocarburos y minería, y subsidios a combustibles, dependen del bloque externo y del tipo de cambio.</t>
  </si>
  <si>
    <t xml:space="preserve">Crecimiento real</t>
  </si>
  <si>
    <t xml:space="preserve">Deflactor del PIB</t>
  </si>
  <si>
    <t xml:space="preserve">PIB nominal</t>
  </si>
  <si>
    <t xml:space="preserve">Bs mm M</t>
  </si>
  <si>
    <t xml:space="preserve">Tipo de cambio fin de año</t>
  </si>
  <si>
    <t xml:space="preserve">Tipo de cambio promedio</t>
  </si>
  <si>
    <t xml:space="preserve">PIB en dólares</t>
  </si>
  <si>
    <t xml:space="preserve">Sector público no financiero (Bs miles de millones)</t>
  </si>
  <si>
    <t xml:space="preserve">Renta hidrocarburífera (vinculada a export.)</t>
  </si>
  <si>
    <t xml:space="preserve">Renta minera</t>
  </si>
  <si>
    <t xml:space="preserve">Subsidio a combustibles</t>
  </si>
  <si>
    <t xml:space="preserve">Balance primario no-commodity</t>
  </si>
  <si>
    <t xml:space="preserve">Balance primario</t>
  </si>
  <si>
    <t xml:space="preserve">Intereses deuda externa</t>
  </si>
  <si>
    <t xml:space="preserve">Intereses deuda interna</t>
  </si>
  <si>
    <t xml:space="preserve">Balance global</t>
  </si>
  <si>
    <t xml:space="preserve">Financiamiento externo neto</t>
  </si>
  <si>
    <t xml:space="preserve">Pasivos contingentes reconocidos</t>
  </si>
  <si>
    <t xml:space="preserve">Financiamiento interno</t>
  </si>
  <si>
    <t xml:space="preserve">Deuda pública SPNF</t>
  </si>
  <si>
    <t xml:space="preserve">Deuda externa pública</t>
  </si>
  <si>
    <t xml:space="preserve">Deuda interna en USD / indexada</t>
  </si>
  <si>
    <t xml:space="preserve">Deuda interna en moneda local</t>
  </si>
  <si>
    <t xml:space="preserve">Deuda interna total</t>
  </si>
  <si>
    <t xml:space="preserve">Deuda pública total</t>
  </si>
  <si>
    <t xml:space="preserve">Deuda en moneda extranjera o indexada / total</t>
  </si>
  <si>
    <t xml:space="preserve">Deuda neta de tenencias del BCB</t>
  </si>
  <si>
    <t xml:space="preserve">Amortizaciones deuda interna</t>
  </si>
  <si>
    <t xml:space="preserve">Necesidades brutas de financiamiento</t>
  </si>
  <si>
    <t xml:space="preserve">Balance primario / PIB</t>
  </si>
  <si>
    <t xml:space="preserve">Descomposición de la variación de deuda/PIB (pp)</t>
  </si>
  <si>
    <t xml:space="preserve">Déficit primario</t>
  </si>
  <si>
    <t xml:space="preserve">pp</t>
  </si>
  <si>
    <t xml:space="preserve">Intereses</t>
  </si>
  <si>
    <t xml:space="preserve">Inflación (deflactor)</t>
  </si>
  <si>
    <t xml:space="preserve">Tipo de cambio (revaluación deuda en USD)</t>
  </si>
  <si>
    <t xml:space="preserve">Pasivos contingentes</t>
  </si>
  <si>
    <t xml:space="preserve">Residuo (control = 0)</t>
  </si>
  <si>
    <t xml:space="preserve">Variación deuda/PIB</t>
  </si>
  <si>
    <t xml:space="preserve">Indicadores de sostenibilidad (escenario activo)</t>
  </si>
  <si>
    <t xml:space="preserve">En rojo: valores que superan umbrales de referencia (columna de notas).</t>
  </si>
  <si>
    <t xml:space="preserve">Solvencia y liquidez fiscal</t>
  </si>
  <si>
    <t xml:space="preserve">70%: umbral de alto escrutinio, marco MAC SRDSF (mercados emergentes)</t>
  </si>
  <si>
    <t xml:space="preserve">Deuda neta de tenencias BCB / PIB</t>
  </si>
  <si>
    <t xml:space="preserve">15%: umbral NBF, marco MAC SRDSF</t>
  </si>
  <si>
    <t xml:space="preserve">Deuda en ME o indexada / total</t>
  </si>
  <si>
    <t xml:space="preserve">Referencia: &gt;50% eleva vulnerabilidad cambiaria</t>
  </si>
  <si>
    <t xml:space="preserve">Sostenibilidad externa</t>
  </si>
  <si>
    <t xml:space="preserve">Deuda externa privada</t>
  </si>
  <si>
    <t xml:space="preserve">Deuda externa total (pública + FMI + privada)</t>
  </si>
  <si>
    <t xml:space="preserve">40%: referencia LIC-DSF (capacidad media, en VP)</t>
  </si>
  <si>
    <t xml:space="preserve">Deuda externa total / export. bienes</t>
  </si>
  <si>
    <t xml:space="preserve">180%: referencia LIC-DSF (capacidad media, en VP)</t>
  </si>
  <si>
    <t xml:space="preserve">Servicio deuda externa pública + FMI</t>
  </si>
  <si>
    <t xml:space="preserve">Servicio deuda externa / export. bienes</t>
  </si>
  <si>
    <t xml:space="preserve">15%: referencia LIC-DSF (capacidad media)</t>
  </si>
  <si>
    <t xml:space="preserve">Reservas brutas</t>
  </si>
  <si>
    <t xml:space="preserve">Reservas / meses de importación</t>
  </si>
  <si>
    <t xml:space="preserve">meses</t>
  </si>
  <si>
    <t xml:space="preserve">3 meses de importaciones</t>
  </si>
  <si>
    <t xml:space="preserve">Reservas / vencimientos externos del año (Greenspan-Guidotti)</t>
  </si>
  <si>
    <t xml:space="preserve">x</t>
  </si>
  <si>
    <t xml:space="preserve">Regla Greenspan-Guidotti: &gt;1</t>
  </si>
  <si>
    <t xml:space="preserve">Ajuste cambiario endógeno</t>
  </si>
  <si>
    <t xml:space="preserve">Depreciación de ajuste</t>
  </si>
  <si>
    <t xml:space="preserve">Comparación de escenarios (salida de modelo.py)</t>
  </si>
  <si>
    <t xml:space="preserve">Valores calculados por el motor en Python con las mismas ecuaciones que las hojas de fórmulas; seleccionando el escenario en Portada!C6 las hojas vivas reproducen estas cifras.</t>
  </si>
  <si>
    <t xml:space="preserve">Tipo de cambio fin de año (Bs/USD)</t>
  </si>
  <si>
    <t xml:space="preserve">Servicio deuda externa / export.</t>
  </si>
  <si>
    <t xml:space="preserve">Simulación estocástica (Monte Carlo, 5.000 sendas, escenario base)</t>
  </si>
  <si>
    <t xml:space="preserve">Choques correlacionados a precios de metales preciosos/base, petróleo y crecimiento (AR(1) en niveles), más choques a volumen de gas, precios agro, flujos privados, balance primario y tasa interna. A diferencia del fan chart estándar del FMI (VAR sobre variables fiscales históricas), aquí los choques externos pasan por la balanza de pagos, las reservas y el tipo de cambio antes de llegar a la deuda.</t>
  </si>
  <si>
    <t xml:space="preserve">Percentil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</si>
  <si>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</si>
  <si>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</si>
  <si>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</si>
  <si>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</si>
  <si>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</si>
  <si>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Probabilidades (sobre 5.000 sendas)</t>
  </si>
  <si>
    <t xml:space="preserve">Deuda/PIB 2030 &gt; 100%</t>
  </si>
  <si>
    <t xml:space="preserve">Deuda/PIB 2030 &gt; deuda/PIB 2026 (no baja)</t>
  </si>
  <si>
    <t xml:space="preserve">Deuda/PIB 2035 &gt; 70% (umbral MAC)</t>
  </si>
  <si>
    <t xml:space="preserve">NBF/PIB &gt; 15% en 2030</t>
  </si>
  <si>
    <t xml:space="preserve">Reservas &lt; 3 meses de import. algún año 2027-2031</t>
  </si>
  <si>
    <t xml:space="preserve">Depreciación de ajuste &gt; 10% algún año 2027-2031</t>
  </si>
  <si>
    <t xml:space="preserve">Deuda/PIB 2029 &gt; 89,2% (proyección FMI)</t>
  </si>
  <si>
    <t xml:space="preserve">Qué agrega este DSA frente al marco estándar del FMI</t>
  </si>
  <si>
    <t xml:space="preserve">Dimensión</t>
  </si>
  <si>
    <t xml:space="preserve">DSA estándar (MAC SRDSF / staff report)</t>
  </si>
  <si>
    <t xml:space="preserve">Este modelo</t>
  </si>
  <si>
    <t xml:space="preserve">Tipo de cambio</t>
  </si>
  <si>
    <t xml:space="preserve">Senda exógena; choque cambiario genérico como prueba de tensión.</t>
  </si>
  <si>
    <t xml:space="preserve">Endógeno: la brecha de balanza de pagos frente al piso/nivel cómodo de reservas se cierra con depreciación, que revalúa la deuda en USD, sube el deflactor y resta crecimiento.</t>
  </si>
  <si>
    <t xml:space="preserve">Exportaciones</t>
  </si>
  <si>
    <t xml:space="preserve">Agregadas; choques de commodities como escenario puntual.</t>
  </si>
  <si>
    <t xml:space="preserve">Desagregadas por motor (metales preciosos, metales base, gas, agro, resto) con precio y volumen propios; gas con declinación de campos e indexación rezagada al petróleo.</t>
  </si>
  <si>
    <t xml:space="preserve">Vínculo fiscal-externo</t>
  </si>
  <si>
    <t xml:space="preserve">Implícito.</t>
  </si>
  <si>
    <t xml:space="preserve">Explícito: renta hidrocarburífera y minera dependen del valor exportado y del tipo de cambio; el subsidio a combustibles depende del precio del petróleo y del tipo de cambio; el desliz fiscal aumenta importaciones (déficits gemelos).</t>
  </si>
  <si>
    <t xml:space="preserve">Reservas</t>
  </si>
  <si>
    <t xml:space="preserve">Se reportan; no retroalimentan la deuda.</t>
  </si>
  <si>
    <t xml:space="preserve">Variable de estado: acumulan cuenta corriente + IED + financiamiento oficial + FMI + flujos privados + valuación del oro. Determinan el ajuste cambiario.</t>
  </si>
  <si>
    <t xml:space="preserve">Abanico estocástico</t>
  </si>
  <si>
    <t xml:space="preserve">Choques históricos a crecimiento, tasas, tipo de cambio y balance primario.</t>
  </si>
  <si>
    <t xml:space="preserve">Choques a precios de commodities correlacionados con persistencia, que atraviesan la balanza de pagos antes de llegar a la deuda.</t>
  </si>
  <si>
    <t xml:space="preserve">Perímetro de deuda</t>
  </si>
  <si>
    <t xml:space="preserve">SPNF bruto.</t>
  </si>
  <si>
    <t xml:space="preserve">SPNF bruto y neto de tenencias del BCB (≈55% de la deuda interna), más composición por moneda.</t>
  </si>
  <si>
    <t xml:space="preserve">Indicadores externos</t>
  </si>
  <si>
    <t xml:space="preserve">Separados en DSA externo.</t>
  </si>
  <si>
    <t xml:space="preserve">Integrados: deuda externa total/PIB y /export., servicio/export., reservas en meses de importación, Greenspan-Guidotti.</t>
  </si>
  <si>
    <t xml:space="preserve">Supuesto implícito de TCR</t>
  </si>
  <si>
    <t xml:space="preserve">No se explicita.</t>
  </si>
  <si>
    <t xml:space="preserve">Escenario 'Réplica FMI' calibra cuánta apreciación real 2027-29 se necesita para que, con los déficits del programa, la deuda llegue a 89,2% del PIB en 2029. Ese mismo escenario muestra el costo externo de esa apreciación.</t>
  </si>
  <si>
    <t xml:space="preserve">Limitaciones</t>
  </si>
  <si>
    <t xml:space="preserve">• Datos de balanza de pagos 2026 son estimaciones a partir de comercio exterior ene-ago (INE) y del WEO oct-2026; no hay BoP oficial 2026.</t>
  </si>
  <si>
    <t xml:space="preserve">• El cronograma de amortizaciones externas es una aproximación; no se tuvo acceso al informe de deuda externa del BCB ni al staff report completo del FMI.</t>
  </si>
  <si>
    <t xml:space="preserve">• La regla cambiaria es asimétrica (sólo deprecia ante caída de reservas); con reservas abundantes el modelo acumula en vez de apreciar.</t>
  </si>
  <si>
    <t xml:space="preserve">• No modela explícitamente el sistema financiero ni la dolarización de depósitos; los pasivos contingentes entran como choque de stock.</t>
  </si>
  <si>
    <t xml:space="preserve">• El auge exportador de 2026 mezcla precios (plata, oro) y formalización de exportaciones antes informales tras la flotación; separar ambos es clave y no está resuelto.</t>
  </si>
  <si>
    <t xml:space="preserve">• Las elasticidades son supuestos calibrados, no estimaciones econométricas.</t>
  </si>
  <si>
    <t xml:space="preserve">Fuentes</t>
  </si>
  <si>
    <t xml:space="preserve">Dato</t>
  </si>
  <si>
    <t xml:space="preserve">URL</t>
  </si>
  <si>
    <t xml:space="preserve">FMI, acuerdo a nivel técnico SAF (29-jul-2026)</t>
  </si>
  <si>
    <t xml:space="preserve">https://www.imf.org/en/news/articles/2026/07/29/pr26268-bolivia-imf-reaches-staff-level-agreement-on-an-extended-fund-facility-arrangement</t>
  </si>
  <si>
    <t xml:space="preserve">Aprobación del Directorio FMI, 2-oct-2026 (USD 1.900 M; USD 214 M inmediatos)</t>
  </si>
  <si>
    <t xml:space="preserve">https://www.riotimesonline.com/bolivia-imf-loan-approved-214-million-expats-2026/</t>
  </si>
  <si>
    <t xml:space="preserve">Informe técnico FMI: deuda 100,2% PIB 2026; déficit 11,4%→9,2%→6,7%</t>
  </si>
  <si>
    <t xml:space="preserve">https://fmbolivia.com.bo/nacional/deuda-publica-de-bolivia-llegaria-al-100-2-del-pib-en-2026-segun-informe-tecnico-del-fmi-21327</t>
  </si>
  <si>
    <t xml:space="preserve">Acuerdo FMI: ajuste 8,5% PIB, deuda 89,2% en 2029</t>
  </si>
  <si>
    <t xml:space="preserve">https://fmlapaz.bo/fmi-hace-publico-el-acuerdo-con-bolivia-us-1-900-millones-ajuste-del-85-del-pib-y-eliminacion-del-subsidio-a-los-combustibles-en-2027/</t>
  </si>
  <si>
    <t xml:space="preserve">FMI WEO oct-2026: PIB -3,0%/-1,5%; CC +1,6%/+1,0% PIB</t>
  </si>
  <si>
    <t xml:space="preserve">https://www.vision360.bo/noticias/2026/10/13/72357-fmi-bolivia-sera-la-unica-economia-de-sudamerica-que-se-contraera-en-2026-y-2027</t>
  </si>
  <si>
    <t xml:space="preserve">Deuda externa pública USD 14.117 M a sep-2026 (BCB)</t>
  </si>
  <si>
    <t xml:space="preserve">https://unitel.bo/noticias/agencias/deuda-externa-publica-de-bolivia-llega-a-14117-millones-de-dolares-a-septiembre-de-2026-OC24040790</t>
  </si>
  <si>
    <t xml:space="preserve">BCB, Reporte de Balanza de Pagos 2025</t>
  </si>
  <si>
    <t xml:space="preserve">https://www.bcb.gob.bo/webdocs/publicacionesbcb/2026/03/31/BOP%202025%20(4).pdf</t>
  </si>
  <si>
    <t xml:space="preserve">BCB, Resumen de cifras BoP 2025 (CC -1.218 M; bienes +334 M)</t>
  </si>
  <si>
    <t xml:space="preserve">https://www.bcb.gob.bo/webdocs/publicacionesbcb/2026/02/03/Resumen%20de%20cifras%20(WEB).pdf</t>
  </si>
  <si>
    <t xml:space="preserve">INE vía eju.tv: export. ene-ago 2026 USD 8.987 M; saldo comercial +2.029 M</t>
  </si>
  <si>
    <t xml:space="preserve">https://eju.tv/2026/10/bolivia-registro-un-saldo-comercial-superior-a-us-2-000-millones-entre-enero-y-agosto-de-este-ano-segun-el-ine/</t>
  </si>
  <si>
    <t xml:space="preserve">IBCE: exportaciones a junio 2026</t>
  </si>
  <si>
    <t xml:space="preserve">https://www.ibce.org.bo//images/ibcecifras_documentos/Cifras_1.441_Exportaciones_junio_2026_1786634430.pdf</t>
  </si>
  <si>
    <t xml:space="preserve">Export. de gas 2025: USD 1.077 M (-33%)</t>
  </si>
  <si>
    <t xml:space="preserve">https://unitel.bo/noticias/economia/bolivia-registro-una-caida-cercana-a-us-540-millones-en-la-exportacion-de-gas-en-2025-segun-el-ine-PL19126328</t>
  </si>
  <si>
    <t xml:space="preserve">CEPAL: PIB nominal 2025 USD 55.000 M</t>
  </si>
  <si>
    <t xml:space="preserve">https://correodelsur.com/economia/20260227/cepal-el-pib-nominal-de-bolivia-llego-a-us-55-000-millones-en-2025.html</t>
  </si>
  <si>
    <t xml:space="preserve">Flotación cambiaria: RM 245/2026 y RD 88/2026</t>
  </si>
  <si>
    <t xml:space="preserve">https://www.dentons.com/en/insights/alerts/2026/july/1/bolivia-adopts-a-flexible-exchange-rate-regime</t>
  </si>
  <si>
    <t xml:space="preserve">BCB, tipos de cambio históricos 2026</t>
  </si>
  <si>
    <t xml:space="preserve">https://www.bcb.gob.bo/tiposDeCambioHistorico/pdf.php?anio=2026</t>
  </si>
  <si>
    <t xml:space="preserve">Reservas líquidas &gt;USD 1.000 M tras desembolso FMI</t>
  </si>
  <si>
    <t xml:space="preserve">https://eju.tv/2026/10/reservas-liquidas-del-bcb-crecen-a-mas-de-us-1-000-millones-tras-el-desembolso-del-fmi/</t>
  </si>
  <si>
    <t xml:space="preserve">BCB mayor acreedor de deuda interna (54,6%)</t>
  </si>
  <si>
    <t xml:space="preserve">https://www.jubileobolivia.org.bo/Publicaciones/Presupuestos-y-Fiscalidad/Deuda-Interna:-El-BCB-es-el-mayor-acreedor-con-546</t>
  </si>
  <si>
    <t xml:space="preserve">Deuda interna TGN (MEFP)</t>
  </si>
  <si>
    <t xml:space="preserve">https://www.economiayfinanzas.gob.bo/viceministerios/vtcp/deuda-interna-tgn</t>
  </si>
  <si>
    <t xml:space="preserve">Canje de bonos 2028/2030 (mar-2026)</t>
  </si>
  <si>
    <t xml:space="preserve">https://riosmauricio.com/2026/04/algunas-medias-verdades-sobre-los-bonos-soberanos-2028-de-bolivia/</t>
  </si>
  <si>
    <t xml:space="preserve">Infobae: desembolsos esperados FMI/BM/BID</t>
  </si>
  <si>
    <t xml:space="preserve">https://www.infobae.com/america/america-latina/2026/09/19/el-congreso-de-bolivia-aprobo-el-acuerdo-de-financiamiento-con-el-fmi-por-usd-1900-millones/</t>
  </si>
  <si>
    <t xml:space="preserve">FinDev Lab (abr-2026): DSA independiente con reperfilamiento</t>
  </si>
  <si>
    <t xml:space="preserve">http://findevlab.org/wp-content/uploads/2026/04/FDL_Policy-Note-34_A-New-Day-for-Bolivia_The-Anatomy-of-a-Crisis-and-the-Options-Ahead.pdf</t>
  </si>
  <si>
    <t xml:space="preserve">Nota: varias cifras provienen de prensa que cita fuentes oficiales; el acceso directo a imf.org y bcb.gob.bo no estuvo disponible al construir el modelo. Verificar contra los documentos originales antes de publicar.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</si>
</sst>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;\-0.0%;\-"/>
    <numFmt numFmtId="166" formatCode="0.00;\(0.00\);\-"/>
    <numFmt numFmtId="167" formatCode="0.0&quot; m&quot;"/>
    <numFmt numFmtId="168" formatCode="0.00"/>
    <numFmt numFmtId="169" formatCode="0.0"/>
    <numFmt numFmtId="170" formatCode="#,##0.0;\(#,##0.0\);\-"/>
    <numFmt numFmtId="171" formatCode="0.00;\-0.00;\-"/>
    <numFmt numFmtId="172" formatCode="0.00\x"/>
    <numFmt numFmtId="173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8"/>
      <name val="Arial"/>
      <family val="0"/>
      <charset val="1"/>
    </font>
    <font>
      <sz val="10"/>
      <name val="Arial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u val="single"/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300"/>
      <rgbColor rgb="FFC0C0C0"/>
      <rgbColor rgb="FF878787"/>
      <rgbColor rgb="FF5A9BE8"/>
      <rgbColor rgb="FFE34948"/>
      <rgbColor rgb="FFF2F2F2"/>
      <rgbColor rgb="FFD9E1F2"/>
      <rgbColor rgb="FF660066"/>
      <rgbColor rgb="FFE87BA4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EC5F4"/>
      <rgbColor rgb="FFFF99CC"/>
      <rgbColor rgb="FFCC99FF"/>
      <rgbColor rgb="FFF8CBAD"/>
      <rgbColor rgb="FF2A78D6"/>
      <rgbColor rgb="FF33CCCC"/>
      <rgbColor rgb="FF99CC00"/>
      <rgbColor rgb="FFFFCC00"/>
      <rgbColor rgb="FFEDA100"/>
      <rgbColor rgb="FFEB6834"/>
      <rgbColor rgb="FF6250D6"/>
      <rgbColor rgb="FF969696"/>
      <rgbColor rgb="FF1F3864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Deuda pública / PIB por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Escenarios!$C$6:$M$6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0.99288556485854</c:v>
                </c:pt>
                <c:pt idx="3">
                  <c:v>0.970247309899319</c:v>
                </c:pt>
                <c:pt idx="4">
                  <c:v>0.940340295091229</c:v>
                </c:pt>
                <c:pt idx="5">
                  <c:v>0.914584870334368</c:v>
                </c:pt>
                <c:pt idx="6">
                  <c:v>0.89207426716005</c:v>
                </c:pt>
                <c:pt idx="7">
                  <c:v>0.870696325514527</c:v>
                </c:pt>
                <c:pt idx="8">
                  <c:v>0.854483303327523</c:v>
                </c:pt>
                <c:pt idx="9">
                  <c:v>0.850506325987329</c:v>
                </c:pt>
                <c:pt idx="10">
                  <c:v>0.840579892310636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"Réplica FMI (TCR que replica su sendero)"</c:f>
              <c:strCache>
                <c:ptCount val="1"/>
                <c:pt idx="0">
                  <c:v>Réplica FMI (TCR que replica su sendero)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Escenarios!$C$7:$M$7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0.9750028221443</c:v>
                </c:pt>
                <c:pt idx="3">
                  <c:v>0.936173515342133</c:v>
                </c:pt>
                <c:pt idx="4">
                  <c:v>0.892003576032016</c:v>
                </c:pt>
                <c:pt idx="5">
                  <c:v>0.868046344188128</c:v>
                </c:pt>
                <c:pt idx="6">
                  <c:v>0.85914013566818</c:v>
                </c:pt>
                <c:pt idx="7">
                  <c:v>0.847995396823339</c:v>
                </c:pt>
                <c:pt idx="8">
                  <c:v>0.831900871535338</c:v>
                </c:pt>
                <c:pt idx="9">
                  <c:v>0.815992506782821</c:v>
                </c:pt>
                <c:pt idx="10">
                  <c:v>0.801933434517429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"Reversión de metales preciosos"</c:f>
              <c:strCache>
                <c:ptCount val="1"/>
                <c:pt idx="0">
                  <c:v>Reversión de metales preciosos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Escenarios!$C$8:$M$8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1.01386290222076</c:v>
                </c:pt>
                <c:pt idx="3">
                  <c:v>1.01900928249847</c:v>
                </c:pt>
                <c:pt idx="4">
                  <c:v>1.00427227374254</c:v>
                </c:pt>
                <c:pt idx="5">
                  <c:v>0.996764924010901</c:v>
                </c:pt>
                <c:pt idx="6">
                  <c:v>0.978910842598278</c:v>
                </c:pt>
                <c:pt idx="7">
                  <c:v>0.962523727682393</c:v>
                </c:pt>
                <c:pt idx="8">
                  <c:v>0.95087483110256</c:v>
                </c:pt>
                <c:pt idx="9">
                  <c:v>0.939280526092457</c:v>
                </c:pt>
                <c:pt idx="10">
                  <c:v>0.92724414743161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"Declive acelerado del gas + petróleo caro"</c:f>
              <c:strCache>
                <c:ptCount val="1"/>
                <c:pt idx="0">
                  <c:v>Declive acelerado del gas + petróleo caro</c:v>
                </c:pt>
              </c:strCache>
            </c:strRef>
          </c:tx>
          <c:spPr>
            <a:solidFill>
              <a:srgbClr val="eda100"/>
            </a:solidFill>
            <a:ln w="21960">
              <a:solidFill>
                <a:srgbClr val="eda1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Escenarios!$C$9:$M$9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1.00612129800054</c:v>
                </c:pt>
                <c:pt idx="3">
                  <c:v>0.994156818555811</c:v>
                </c:pt>
                <c:pt idx="4">
                  <c:v>0.975518303433774</c:v>
                </c:pt>
                <c:pt idx="5">
                  <c:v>0.961102678619584</c:v>
                </c:pt>
                <c:pt idx="6">
                  <c:v>0.959529145537155</c:v>
                </c:pt>
                <c:pt idx="7">
                  <c:v>0.961477617869609</c:v>
                </c:pt>
                <c:pt idx="8">
                  <c:v>0.959165751808652</c:v>
                </c:pt>
                <c:pt idx="9">
                  <c:v>0.954582523915953</c:v>
                </c:pt>
                <c:pt idx="10">
                  <c:v>0.951012524303242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"Desliz fiscal (-2 pp PIB)"</c:f>
              <c:strCache>
                <c:ptCount val="1"/>
                <c:pt idx="0">
                  <c:v>Desliz fiscal (-2 pp PIB)</c:v>
                </c:pt>
              </c:strCache>
            </c:strRef>
          </c:tx>
          <c:spPr>
            <a:solidFill>
              <a:srgbClr val="e87ba4"/>
            </a:solidFill>
            <a:ln w="21960">
              <a:solidFill>
                <a:srgbClr val="e87b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Escenarios!$C$10:$M$10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1.01288556485854</c:v>
                </c:pt>
                <c:pt idx="3">
                  <c:v>1.00987394735425</c:v>
                </c:pt>
                <c:pt idx="4">
                  <c:v>0.999739698776067</c:v>
                </c:pt>
                <c:pt idx="5">
                  <c:v>0.995531244960822</c:v>
                </c:pt>
                <c:pt idx="6">
                  <c:v>1.00971807170836</c:v>
                </c:pt>
                <c:pt idx="7">
                  <c:v>1.02099897560865</c:v>
                </c:pt>
                <c:pt idx="8">
                  <c:v>1.02552466132472</c:v>
                </c:pt>
                <c:pt idx="9">
                  <c:v>1.02956764911857</c:v>
                </c:pt>
                <c:pt idx="10">
                  <c:v>1.03536790828766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"Salida de capitales / menos IED"</c:f>
              <c:strCache>
                <c:ptCount val="1"/>
                <c:pt idx="0">
                  <c:v>Salida de capitales / menos IED</c:v>
                </c:pt>
              </c:strCache>
            </c:strRef>
          </c:tx>
          <c:spPr>
            <a:solidFill>
              <a:srgbClr val="008300"/>
            </a:solidFill>
            <a:ln w="21960">
              <a:solidFill>
                <a:srgbClr val="0083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Escenarios!$C$11:$M$11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0.99288556485854</c:v>
                </c:pt>
                <c:pt idx="3">
                  <c:v>0.970247309899319</c:v>
                </c:pt>
                <c:pt idx="4">
                  <c:v>0.940340295091229</c:v>
                </c:pt>
                <c:pt idx="5">
                  <c:v>0.930336468418325</c:v>
                </c:pt>
                <c:pt idx="6">
                  <c:v>0.920977276633969</c:v>
                </c:pt>
                <c:pt idx="7">
                  <c:v>0.90338385563088</c:v>
                </c:pt>
                <c:pt idx="8">
                  <c:v>0.885583936232529</c:v>
                </c:pt>
                <c:pt idx="9">
                  <c:v>0.869590586035855</c:v>
                </c:pt>
                <c:pt idx="10">
                  <c:v>0.854699614452545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"Combinado (tormenta)"</c:f>
              <c:strCache>
                <c:ptCount val="1"/>
                <c:pt idx="0">
                  <c:v>Combinado (tormenta)</c:v>
                </c:pt>
              </c:strCache>
            </c:strRef>
          </c:tx>
          <c:spPr>
            <a:solidFill>
              <a:srgbClr val="6250d6"/>
            </a:solidFill>
            <a:ln w="21960">
              <a:solidFill>
                <a:srgbClr val="6250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Escenarios!$C$12:$M$12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1.05253494262483</c:v>
                </c:pt>
                <c:pt idx="3">
                  <c:v>1.0746487494602</c:v>
                </c:pt>
                <c:pt idx="4">
                  <c:v>1.07616208323976</c:v>
                </c:pt>
                <c:pt idx="5">
                  <c:v>1.08203739866192</c:v>
                </c:pt>
                <c:pt idx="6">
                  <c:v>1.07560732589894</c:v>
                </c:pt>
                <c:pt idx="7">
                  <c:v>1.07100500052811</c:v>
                </c:pt>
                <c:pt idx="8">
                  <c:v>1.07160373396592</c:v>
                </c:pt>
                <c:pt idx="9">
                  <c:v>1.0721004124205</c:v>
                </c:pt>
                <c:pt idx="10">
                  <c:v>1.07172877007236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"Base + reperfilamiento bilateral/bonos"</c:f>
              <c:strCache>
                <c:ptCount val="1"/>
                <c:pt idx="0">
                  <c:v>Base + reperfilamiento bilateral/bonos</c:v>
                </c:pt>
              </c:strCache>
            </c:strRef>
          </c:tx>
          <c:spPr>
            <a:solidFill>
              <a:srgbClr val="e34948"/>
            </a:solidFill>
            <a:ln w="21960">
              <a:solidFill>
                <a:srgbClr val="e349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Escenarios!$C$13:$M$13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0.993176744640789</c:v>
                </c:pt>
                <c:pt idx="3">
                  <c:v>0.970858914146223</c:v>
                </c:pt>
                <c:pt idx="4">
                  <c:v>0.941056651520098</c:v>
                </c:pt>
                <c:pt idx="5">
                  <c:v>0.915597239995169</c:v>
                </c:pt>
                <c:pt idx="6">
                  <c:v>0.893227597159606</c:v>
                </c:pt>
                <c:pt idx="7">
                  <c:v>0.871916447793514</c:v>
                </c:pt>
                <c:pt idx="8">
                  <c:v>0.85212807018857</c:v>
                </c:pt>
                <c:pt idx="9">
                  <c:v>0.853213921162134</c:v>
                </c:pt>
                <c:pt idx="10">
                  <c:v>0.850397077634044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829065"/>
        <c:axId val="87847107"/>
      </c:lineChart>
      <c:catAx>
        <c:axId val="868290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47107"/>
        <c:crosses val="autoZero"/>
        <c:auto val="1"/>
        <c:lblAlgn val="ctr"/>
        <c:lblOffset val="100"/>
        <c:noMultiLvlLbl val="0"/>
      </c:catAx>
      <c:valAx>
        <c:axId val="87847107"/>
        <c:scaling>
          <c:orientation val="minMax"/>
          <c:min val="0.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PIB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290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Reservas brutas por escenario (USD mm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Escenarios!$C$16:$M$16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Escenarios!$C$17:$M$17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6.574278732</c:v>
                </c:pt>
                <c:pt idx="3">
                  <c:v>7.51947875659957</c:v>
                </c:pt>
                <c:pt idx="4">
                  <c:v>8.03133680108699</c:v>
                </c:pt>
                <c:pt idx="5">
                  <c:v>7.6855808414528</c:v>
                </c:pt>
                <c:pt idx="6">
                  <c:v>7.1117230629711</c:v>
                </c:pt>
                <c:pt idx="7">
                  <c:v>6.05014111087407</c:v>
                </c:pt>
                <c:pt idx="8">
                  <c:v>4.68647409599471</c:v>
                </c:pt>
                <c:pt idx="9">
                  <c:v>4.06190884695501</c:v>
                </c:pt>
                <c:pt idx="10">
                  <c:v>4.25324368481152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"Réplica FMI (TCR que replica su sendero)"</c:f>
              <c:strCache>
                <c:ptCount val="1"/>
                <c:pt idx="0">
                  <c:v>Réplica FMI (TCR que replica su sendero)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Escenarios!$C$16:$M$16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Escenarios!$C$18:$M$18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6.27837846272</c:v>
                </c:pt>
                <c:pt idx="3">
                  <c:v>6.59656852439386</c:v>
                </c:pt>
                <c:pt idx="4">
                  <c:v>6.10213326915287</c:v>
                </c:pt>
                <c:pt idx="5">
                  <c:v>4.699558739375</c:v>
                </c:pt>
                <c:pt idx="6">
                  <c:v>3.92777292786386</c:v>
                </c:pt>
                <c:pt idx="7">
                  <c:v>3.9696857803533</c:v>
                </c:pt>
                <c:pt idx="8">
                  <c:v>4.19303105563291</c:v>
                </c:pt>
                <c:pt idx="9">
                  <c:v>4.3589068309972</c:v>
                </c:pt>
                <c:pt idx="10">
                  <c:v>4.43792230141252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"Reversión de metales preciosos"</c:f>
              <c:strCache>
                <c:ptCount val="1"/>
                <c:pt idx="0">
                  <c:v>Reversión de metales preciosos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Escenarios!$C$16:$M$16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Escenarios!$C$19:$M$19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3.58459491</c:v>
                </c:pt>
                <c:pt idx="3">
                  <c:v>3.3343072808622</c:v>
                </c:pt>
                <c:pt idx="4">
                  <c:v>3.30924775110265</c:v>
                </c:pt>
                <c:pt idx="5">
                  <c:v>3.19289514041655</c:v>
                </c:pt>
                <c:pt idx="6">
                  <c:v>3.41170451664547</c:v>
                </c:pt>
                <c:pt idx="7">
                  <c:v>3.48937598896748</c:v>
                </c:pt>
                <c:pt idx="8">
                  <c:v>3.48711107922253</c:v>
                </c:pt>
                <c:pt idx="9">
                  <c:v>3.56887838992367</c:v>
                </c:pt>
                <c:pt idx="10">
                  <c:v>3.66218223443631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"Declive acelerado del gas + petróleo caro"</c:f>
              <c:strCache>
                <c:ptCount val="1"/>
                <c:pt idx="0">
                  <c:v>Declive acelerado del gas + petróleo caro</c:v>
                </c:pt>
              </c:strCache>
            </c:strRef>
          </c:tx>
          <c:spPr>
            <a:solidFill>
              <a:srgbClr val="eda100"/>
            </a:solidFill>
            <a:ln w="21960">
              <a:solidFill>
                <a:srgbClr val="eda1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Escenarios!$C$16:$M$16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Escenarios!$C$20:$M$20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5.868998732</c:v>
                </c:pt>
                <c:pt idx="3">
                  <c:v>6.20749275659957</c:v>
                </c:pt>
                <c:pt idx="4">
                  <c:v>6.03334247348699</c:v>
                </c:pt>
                <c:pt idx="5">
                  <c:v>4.9450403293648</c:v>
                </c:pt>
                <c:pt idx="6">
                  <c:v>4.14465704565979</c:v>
                </c:pt>
                <c:pt idx="7">
                  <c:v>3.95701147417472</c:v>
                </c:pt>
                <c:pt idx="8">
                  <c:v>4.11018896267203</c:v>
                </c:pt>
                <c:pt idx="9">
                  <c:v>4.30713929859335</c:v>
                </c:pt>
                <c:pt idx="10">
                  <c:v>4.41007956232115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"Desliz fiscal (-2 pp PIB)"</c:f>
              <c:strCache>
                <c:ptCount val="1"/>
                <c:pt idx="0">
                  <c:v>Desliz fiscal (-2 pp PIB)</c:v>
                </c:pt>
              </c:strCache>
            </c:strRef>
          </c:tx>
          <c:spPr>
            <a:solidFill>
              <a:srgbClr val="e87ba4"/>
            </a:solidFill>
            <a:ln w="21960">
              <a:solidFill>
                <a:srgbClr val="e87b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Escenarios!$C$16:$M$16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Escenarios!$C$21:$M$21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6.24729897080597</c:v>
                </c:pt>
                <c:pt idx="3">
                  <c:v>6.57109683345429</c:v>
                </c:pt>
                <c:pt idx="4">
                  <c:v>6.13932978951037</c:v>
                </c:pt>
                <c:pt idx="5">
                  <c:v>4.61202310617313</c:v>
                </c:pt>
                <c:pt idx="6">
                  <c:v>3.78179156789654</c:v>
                </c:pt>
                <c:pt idx="7">
                  <c:v>3.8617458089918</c:v>
                </c:pt>
                <c:pt idx="8">
                  <c:v>4.12663085418325</c:v>
                </c:pt>
                <c:pt idx="9">
                  <c:v>4.30709846470751</c:v>
                </c:pt>
                <c:pt idx="10">
                  <c:v>4.38642972295791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"Salida de capitales / menos IED"</c:f>
              <c:strCache>
                <c:ptCount val="1"/>
                <c:pt idx="0">
                  <c:v>Salida de capitales / menos IED</c:v>
                </c:pt>
              </c:strCache>
            </c:strRef>
          </c:tx>
          <c:spPr>
            <a:solidFill>
              <a:srgbClr val="008300"/>
            </a:solidFill>
            <a:ln w="21960">
              <a:solidFill>
                <a:srgbClr val="0083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Escenarios!$C$16:$M$16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Escenarios!$C$22:$M$22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5.524278732</c:v>
                </c:pt>
                <c:pt idx="3">
                  <c:v>5.31947875659957</c:v>
                </c:pt>
                <c:pt idx="4">
                  <c:v>4.58133680108699</c:v>
                </c:pt>
                <c:pt idx="5">
                  <c:v>3.61427338363264</c:v>
                </c:pt>
                <c:pt idx="6">
                  <c:v>3.5576292689221</c:v>
                </c:pt>
                <c:pt idx="7">
                  <c:v>3.75906955311889</c:v>
                </c:pt>
                <c:pt idx="8">
                  <c:v>3.86665121330012</c:v>
                </c:pt>
                <c:pt idx="9">
                  <c:v>3.96370363270418</c:v>
                </c:pt>
                <c:pt idx="10">
                  <c:v>4.05035203936817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"Combinado (tormenta)"</c:f>
              <c:strCache>
                <c:ptCount val="1"/>
                <c:pt idx="0">
                  <c:v>Combinado (tormenta)</c:v>
                </c:pt>
              </c:strCache>
            </c:strRef>
          </c:tx>
          <c:spPr>
            <a:solidFill>
              <a:srgbClr val="6250d6"/>
            </a:solidFill>
            <a:ln w="21960">
              <a:solidFill>
                <a:srgbClr val="6250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Escenarios!$C$16:$M$16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Escenarios!$C$23:$M$23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3.66176996313433</c:v>
                </c:pt>
                <c:pt idx="3">
                  <c:v>3.18563329291244</c:v>
                </c:pt>
                <c:pt idx="4">
                  <c:v>3.13660462467239</c:v>
                </c:pt>
                <c:pt idx="5">
                  <c:v>3.06515933597149</c:v>
                </c:pt>
                <c:pt idx="6">
                  <c:v>3.31324736945025</c:v>
                </c:pt>
                <c:pt idx="7">
                  <c:v>3.39436974896494</c:v>
                </c:pt>
                <c:pt idx="8">
                  <c:v>3.38981641147676</c:v>
                </c:pt>
                <c:pt idx="9">
                  <c:v>3.47441164774108</c:v>
                </c:pt>
                <c:pt idx="10">
                  <c:v>3.57481884482604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"Base + reperfilamiento bilateral/bonos"</c:f>
              <c:strCache>
                <c:ptCount val="1"/>
                <c:pt idx="0">
                  <c:v>Base + reperfilamiento bilateral/bonos</c:v>
                </c:pt>
              </c:strCache>
            </c:strRef>
          </c:tx>
          <c:spPr>
            <a:solidFill>
              <a:srgbClr val="e34948"/>
            </a:solidFill>
            <a:ln w="21960">
              <a:solidFill>
                <a:srgbClr val="e349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Escenarios!$C$16:$M$16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Escenarios!$C$24:$M$24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6.874278732</c:v>
                </c:pt>
                <c:pt idx="3">
                  <c:v>8.12387875659957</c:v>
                </c:pt>
                <c:pt idx="4">
                  <c:v>8.80349680108699</c:v>
                </c:pt>
                <c:pt idx="5">
                  <c:v>8.8951008414528</c:v>
                </c:pt>
                <c:pt idx="6">
                  <c:v>8.4536430629711</c:v>
                </c:pt>
                <c:pt idx="7">
                  <c:v>7.01406111087406</c:v>
                </c:pt>
                <c:pt idx="8">
                  <c:v>5.01500059916988</c:v>
                </c:pt>
                <c:pt idx="9">
                  <c:v>3.93686217747403</c:v>
                </c:pt>
                <c:pt idx="10">
                  <c:v>3.93148460072935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530969"/>
        <c:axId val="23658047"/>
      </c:lineChart>
      <c:catAx>
        <c:axId val="935309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58047"/>
        <c:crosses val="autoZero"/>
        <c:auto val="1"/>
        <c:lblAlgn val="ctr"/>
        <c:lblOffset val="100"/>
        <c:noMultiLvlLbl val="0"/>
      </c:catAx>
      <c:valAx>
        <c:axId val="236580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mm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309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Tipo de cambio por escenario (Bs/USD)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Escenarios!$C$27:$M$27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Escenarios!$C$28:$M$28</c:f>
              <c:numCache>
                <c:formatCode>0.00</c:formatCode>
                <c:ptCount val="11"/>
                <c:pt idx="0">
                  <c:v>6.96</c:v>
                </c:pt>
                <c:pt idx="1">
                  <c:v>11.8</c:v>
                </c:pt>
                <c:pt idx="2">
                  <c:v>12.755073313783</c:v>
                </c:pt>
                <c:pt idx="3">
                  <c:v>13.318640580433</c:v>
                </c:pt>
                <c:pt idx="4">
                  <c:v>13.6623474341216</c:v>
                </c:pt>
                <c:pt idx="5">
                  <c:v>14.0229372490985</c:v>
                </c:pt>
                <c:pt idx="6">
                  <c:v>14.2559674868645</c:v>
                </c:pt>
                <c:pt idx="7">
                  <c:v>14.4928701723745</c:v>
                </c:pt>
                <c:pt idx="8">
                  <c:v>15.3449460975315</c:v>
                </c:pt>
                <c:pt idx="9">
                  <c:v>18.0114987754791</c:v>
                </c:pt>
                <c:pt idx="10">
                  <c:v>19.6815268876207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"Réplica FMI (TCR que replica su sendero)"</c:f>
              <c:strCache>
                <c:ptCount val="1"/>
                <c:pt idx="0">
                  <c:v>Réplica FMI (TCR que replica su sendero)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Escenarios!$C$27:$M$27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Escenarios!$C$29:$M$29</c:f>
              <c:numCache>
                <c:formatCode>0.00</c:formatCode>
                <c:ptCount val="11"/>
                <c:pt idx="0">
                  <c:v>6.96</c:v>
                </c:pt>
                <c:pt idx="1">
                  <c:v>11.8</c:v>
                </c:pt>
                <c:pt idx="2">
                  <c:v>12.2448703812317</c:v>
                </c:pt>
                <c:pt idx="3">
                  <c:v>12.2796778915627</c:v>
                </c:pt>
                <c:pt idx="4">
                  <c:v>12.1028889414288</c:v>
                </c:pt>
                <c:pt idx="5">
                  <c:v>12.4223200278595</c:v>
                </c:pt>
                <c:pt idx="6">
                  <c:v>14.5542043895874</c:v>
                </c:pt>
                <c:pt idx="7">
                  <c:v>16.2730446714437</c:v>
                </c:pt>
                <c:pt idx="8">
                  <c:v>17.1750081925321</c:v>
                </c:pt>
                <c:pt idx="9">
                  <c:v>17.8429934238808</c:v>
                </c:pt>
                <c:pt idx="10">
                  <c:v>18.7172960508619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"Reversión de metales preciosos"</c:f>
              <c:strCache>
                <c:ptCount val="1"/>
                <c:pt idx="0">
                  <c:v>Reversión de metales preciosos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Escenarios!$C$27:$M$27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Escenarios!$C$30:$M$30</c:f>
              <c:numCache>
                <c:formatCode>0.00</c:formatCode>
                <c:ptCount val="11"/>
                <c:pt idx="0">
                  <c:v>6.96</c:v>
                </c:pt>
                <c:pt idx="1">
                  <c:v>11.8</c:v>
                </c:pt>
                <c:pt idx="2">
                  <c:v>13.2909853744118</c:v>
                </c:pt>
                <c:pt idx="3">
                  <c:v>15.1485253514618</c:v>
                </c:pt>
                <c:pt idx="4">
                  <c:v>16.8163367081527</c:v>
                </c:pt>
                <c:pt idx="5">
                  <c:v>18.9609419937161</c:v>
                </c:pt>
                <c:pt idx="6">
                  <c:v>19.7812631860044</c:v>
                </c:pt>
                <c:pt idx="7">
                  <c:v>20.7106030603017</c:v>
                </c:pt>
                <c:pt idx="8">
                  <c:v>22.1212022238484</c:v>
                </c:pt>
                <c:pt idx="9">
                  <c:v>23.3822766522299</c:v>
                </c:pt>
                <c:pt idx="10">
                  <c:v>24.5499125133203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"Declive acelerado del gas + petróleo caro"</c:f>
              <c:strCache>
                <c:ptCount val="1"/>
                <c:pt idx="0">
                  <c:v>Declive acelerado del gas + petróleo caro</c:v>
                </c:pt>
              </c:strCache>
            </c:strRef>
          </c:tx>
          <c:spPr>
            <a:solidFill>
              <a:srgbClr val="eda100"/>
            </a:solidFill>
            <a:ln w="21960">
              <a:solidFill>
                <a:srgbClr val="eda1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Escenarios!$C$27:$M$27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Escenarios!$C$31:$M$31</c:f>
              <c:numCache>
                <c:formatCode>0.00</c:formatCode>
                <c:ptCount val="11"/>
                <c:pt idx="0">
                  <c:v>6.96</c:v>
                </c:pt>
                <c:pt idx="1">
                  <c:v>11.8</c:v>
                </c:pt>
                <c:pt idx="2">
                  <c:v>12.755073313783</c:v>
                </c:pt>
                <c:pt idx="3">
                  <c:v>13.318640580433</c:v>
                </c:pt>
                <c:pt idx="4">
                  <c:v>13.6623474341216</c:v>
                </c:pt>
                <c:pt idx="5">
                  <c:v>14.0229372490985</c:v>
                </c:pt>
                <c:pt idx="6">
                  <c:v>15.7189827514584</c:v>
                </c:pt>
                <c:pt idx="7">
                  <c:v>17.8695556532865</c:v>
                </c:pt>
                <c:pt idx="8">
                  <c:v>19.2535890716814</c:v>
                </c:pt>
                <c:pt idx="9">
                  <c:v>20.0335827857935</c:v>
                </c:pt>
                <c:pt idx="10">
                  <c:v>20.931817864318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"Desliz fiscal (-2 pp PIB)"</c:f>
              <c:strCache>
                <c:ptCount val="1"/>
                <c:pt idx="0">
                  <c:v>Desliz fiscal (-2 pp PIB)</c:v>
                </c:pt>
              </c:strCache>
            </c:strRef>
          </c:tx>
          <c:spPr>
            <a:solidFill>
              <a:srgbClr val="e87ba4"/>
            </a:solidFill>
            <a:ln w="21960">
              <a:solidFill>
                <a:srgbClr val="e87b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Escenarios!$C$27:$M$27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Escenarios!$C$32:$M$32</c:f>
              <c:numCache>
                <c:formatCode>0.00</c:formatCode>
                <c:ptCount val="11"/>
                <c:pt idx="0">
                  <c:v>6.96</c:v>
                </c:pt>
                <c:pt idx="1">
                  <c:v>11.8</c:v>
                </c:pt>
                <c:pt idx="2">
                  <c:v>12.755073313783</c:v>
                </c:pt>
                <c:pt idx="3">
                  <c:v>13.318640580433</c:v>
                </c:pt>
                <c:pt idx="4">
                  <c:v>13.6623474341216</c:v>
                </c:pt>
                <c:pt idx="5">
                  <c:v>14.2918157294448</c:v>
                </c:pt>
                <c:pt idx="6">
                  <c:v>17.3444398423074</c:v>
                </c:pt>
                <c:pt idx="7">
                  <c:v>19.963843480864</c:v>
                </c:pt>
                <c:pt idx="8">
                  <c:v>21.5849009220078</c:v>
                </c:pt>
                <c:pt idx="9">
                  <c:v>22.974925016521</c:v>
                </c:pt>
                <c:pt idx="10">
                  <c:v>24.7214704731984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"Salida de capitales / menos IED"</c:f>
              <c:strCache>
                <c:ptCount val="1"/>
                <c:pt idx="0">
                  <c:v>Salida de capitales / menos IED</c:v>
                </c:pt>
              </c:strCache>
            </c:strRef>
          </c:tx>
          <c:spPr>
            <a:solidFill>
              <a:srgbClr val="008300"/>
            </a:solidFill>
            <a:ln w="21960">
              <a:solidFill>
                <a:srgbClr val="0083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Escenarios!$C$27:$M$27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Escenarios!$C$33:$M$33</c:f>
              <c:numCache>
                <c:formatCode>0.00</c:formatCode>
                <c:ptCount val="11"/>
                <c:pt idx="0">
                  <c:v>6.96</c:v>
                </c:pt>
                <c:pt idx="1">
                  <c:v>11.8</c:v>
                </c:pt>
                <c:pt idx="2">
                  <c:v>12.755073313783</c:v>
                </c:pt>
                <c:pt idx="3">
                  <c:v>13.318640580433</c:v>
                </c:pt>
                <c:pt idx="4">
                  <c:v>13.6623474341216</c:v>
                </c:pt>
                <c:pt idx="5">
                  <c:v>15.8517020645271</c:v>
                </c:pt>
                <c:pt idx="6">
                  <c:v>17.8495998796883</c:v>
                </c:pt>
                <c:pt idx="7">
                  <c:v>18.8947284691093</c:v>
                </c:pt>
                <c:pt idx="8">
                  <c:v>19.8156545982172</c:v>
                </c:pt>
                <c:pt idx="9">
                  <c:v>20.755402929046</c:v>
                </c:pt>
                <c:pt idx="10">
                  <c:v>21.7830801109328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"Combinado (tormenta)"</c:f>
              <c:strCache>
                <c:ptCount val="1"/>
                <c:pt idx="0">
                  <c:v>Combinado (tormenta)</c:v>
                </c:pt>
              </c:strCache>
            </c:strRef>
          </c:tx>
          <c:spPr>
            <a:solidFill>
              <a:srgbClr val="6250d6"/>
            </a:solidFill>
            <a:ln w="21960">
              <a:solidFill>
                <a:srgbClr val="6250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Escenarios!$C$27:$M$27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Escenarios!$C$34:$M$34</c:f>
              <c:numCache>
                <c:formatCode>0.00</c:formatCode>
                <c:ptCount val="11"/>
                <c:pt idx="0">
                  <c:v>6.96</c:v>
                </c:pt>
                <c:pt idx="1">
                  <c:v>11.8</c:v>
                </c:pt>
                <c:pt idx="2">
                  <c:v>13.2176145604448</c:v>
                </c:pt>
                <c:pt idx="3">
                  <c:v>15.8112725704997</c:v>
                </c:pt>
                <c:pt idx="4">
                  <c:v>18.2325890068867</c:v>
                </c:pt>
                <c:pt idx="5">
                  <c:v>20.9199173843328</c:v>
                </c:pt>
                <c:pt idx="6">
                  <c:v>22.0411782627538</c:v>
                </c:pt>
                <c:pt idx="7">
                  <c:v>23.3551759309867</c:v>
                </c:pt>
                <c:pt idx="8">
                  <c:v>25.3032496660019</c:v>
                </c:pt>
                <c:pt idx="9">
                  <c:v>27.1309092221361</c:v>
                </c:pt>
                <c:pt idx="10">
                  <c:v>28.8658529795114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"Base + reperfilamiento bilateral/bonos"</c:f>
              <c:strCache>
                <c:ptCount val="1"/>
                <c:pt idx="0">
                  <c:v>Base + reperfilamiento bilateral/bonos</c:v>
                </c:pt>
              </c:strCache>
            </c:strRef>
          </c:tx>
          <c:spPr>
            <a:solidFill>
              <a:srgbClr val="e34948"/>
            </a:solidFill>
            <a:ln w="21960">
              <a:solidFill>
                <a:srgbClr val="e349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Escenarios!$C$27:$M$27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Escenarios!$C$35:$M$35</c:f>
              <c:numCache>
                <c:formatCode>0.00</c:formatCode>
                <c:ptCount val="11"/>
                <c:pt idx="0">
                  <c:v>6.96</c:v>
                </c:pt>
                <c:pt idx="1">
                  <c:v>11.8</c:v>
                </c:pt>
                <c:pt idx="2">
                  <c:v>12.755073313783</c:v>
                </c:pt>
                <c:pt idx="3">
                  <c:v>13.318640580433</c:v>
                </c:pt>
                <c:pt idx="4">
                  <c:v>13.6623474341216</c:v>
                </c:pt>
                <c:pt idx="5">
                  <c:v>14.0229372490985</c:v>
                </c:pt>
                <c:pt idx="6">
                  <c:v>14.2559674868645</c:v>
                </c:pt>
                <c:pt idx="7">
                  <c:v>14.4928701723745</c:v>
                </c:pt>
                <c:pt idx="8">
                  <c:v>14.7337096571549</c:v>
                </c:pt>
                <c:pt idx="9">
                  <c:v>17.8691123501524</c:v>
                </c:pt>
                <c:pt idx="10">
                  <c:v>20.5619805838325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090686"/>
        <c:axId val="16878483"/>
      </c:lineChart>
      <c:catAx>
        <c:axId val="550906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78483"/>
        <c:crosses val="autoZero"/>
        <c:auto val="1"/>
        <c:lblAlgn val="ctr"/>
        <c:lblOffset val="100"/>
        <c:noMultiLvlLbl val="0"/>
      </c:catAx>
      <c:valAx>
        <c:axId val="16878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Bs/USD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906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Abanico: deuda pública / PIB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"P10"</c:f>
              <c:strCache>
                <c:ptCount val="1"/>
                <c:pt idx="0">
                  <c:v>P10</c:v>
                </c:pt>
              </c:strCache>
            </c:strRef>
          </c:tx>
          <c:spPr>
            <a:solidFill>
              <a:srgbClr val="9ec5f4"/>
            </a:solidFill>
            <a:ln w="21960">
              <a:solidFill>
                <a:srgbClr val="9ec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Estocastico!$C$5:$M$5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Estocastico!$C$6:$M$6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0.969954002045211</c:v>
                </c:pt>
                <c:pt idx="3">
                  <c:v>0.93075420214764</c:v>
                </c:pt>
                <c:pt idx="4">
                  <c:v>0.88670310569192</c:v>
                </c:pt>
                <c:pt idx="5">
                  <c:v>0.85103222568111</c:v>
                </c:pt>
                <c:pt idx="6">
                  <c:v>0.819947536797823</c:v>
                </c:pt>
                <c:pt idx="7">
                  <c:v>0.791987148887626</c:v>
                </c:pt>
                <c:pt idx="8">
                  <c:v>0.766848346877816</c:v>
                </c:pt>
                <c:pt idx="9">
                  <c:v>0.743437519167399</c:v>
                </c:pt>
                <c:pt idx="10">
                  <c:v>0.722935054778517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"P25"</c:f>
              <c:strCache>
                <c:ptCount val="1"/>
                <c:pt idx="0">
                  <c:v>P25</c:v>
                </c:pt>
              </c:strCache>
            </c:strRef>
          </c:tx>
          <c:spPr>
            <a:solidFill>
              <a:srgbClr val="5a9be8"/>
            </a:solidFill>
            <a:ln w="21960">
              <a:solidFill>
                <a:srgbClr val="5a9be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Estocastico!$C$5:$M$5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Estocastico!$C$7:$M$7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0.980614589277356</c:v>
                </c:pt>
                <c:pt idx="3">
                  <c:v>0.949431040140265</c:v>
                </c:pt>
                <c:pt idx="4">
                  <c:v>0.911872227864184</c:v>
                </c:pt>
                <c:pt idx="5">
                  <c:v>0.882318040005289</c:v>
                </c:pt>
                <c:pt idx="6">
                  <c:v>0.855584607823741</c:v>
                </c:pt>
                <c:pt idx="7">
                  <c:v>0.832143451326963</c:v>
                </c:pt>
                <c:pt idx="8">
                  <c:v>0.810877181410123</c:v>
                </c:pt>
                <c:pt idx="9">
                  <c:v>0.794240075566856</c:v>
                </c:pt>
                <c:pt idx="10">
                  <c:v>0.777765688560892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"P50"</c:f>
              <c:strCache>
                <c:ptCount val="1"/>
                <c:pt idx="0">
                  <c:v>P50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Estocastico!$C$5:$M$5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Estocastico!$C$8:$M$8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0.992692789743258</c:v>
                </c:pt>
                <c:pt idx="3">
                  <c:v>0.970183773157975</c:v>
                </c:pt>
                <c:pt idx="4">
                  <c:v>0.942026739311939</c:v>
                </c:pt>
                <c:pt idx="5">
                  <c:v>0.918271381282966</c:v>
                </c:pt>
                <c:pt idx="6">
                  <c:v>0.899135726999243</c:v>
                </c:pt>
                <c:pt idx="7">
                  <c:v>0.88165807914377</c:v>
                </c:pt>
                <c:pt idx="8">
                  <c:v>0.86539201584317</c:v>
                </c:pt>
                <c:pt idx="9">
                  <c:v>0.851187659857454</c:v>
                </c:pt>
                <c:pt idx="10">
                  <c:v>0.837276659649948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"P75"</c:f>
              <c:strCache>
                <c:ptCount val="1"/>
                <c:pt idx="0">
                  <c:v>P75</c:v>
                </c:pt>
              </c:strCache>
            </c:strRef>
          </c:tx>
          <c:spPr>
            <a:solidFill>
              <a:srgbClr val="5a9be8"/>
            </a:solidFill>
            <a:ln w="21960">
              <a:solidFill>
                <a:srgbClr val="5a9be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Estocastico!$C$5:$M$5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Estocastico!$C$9:$M$9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1.00590883069722</c:v>
                </c:pt>
                <c:pt idx="3">
                  <c:v>0.992669746335205</c:v>
                </c:pt>
                <c:pt idx="4">
                  <c:v>0.972193530311292</c:v>
                </c:pt>
                <c:pt idx="5">
                  <c:v>0.958075663057684</c:v>
                </c:pt>
                <c:pt idx="6">
                  <c:v>0.946256056744814</c:v>
                </c:pt>
                <c:pt idx="7">
                  <c:v>0.934375992602256</c:v>
                </c:pt>
                <c:pt idx="8">
                  <c:v>0.92346171236306</c:v>
                </c:pt>
                <c:pt idx="9">
                  <c:v>0.912271135296055</c:v>
                </c:pt>
                <c:pt idx="10">
                  <c:v>0.902811649934972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"P90"</c:f>
              <c:strCache>
                <c:ptCount val="1"/>
                <c:pt idx="0">
                  <c:v>P90</c:v>
                </c:pt>
              </c:strCache>
            </c:strRef>
          </c:tx>
          <c:spPr>
            <a:solidFill>
              <a:srgbClr val="9ec5f4"/>
            </a:solidFill>
            <a:ln w="21960">
              <a:solidFill>
                <a:srgbClr val="9ec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Estocastico!$C$5:$M$5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Estocastico!$C$10:$M$10</c:f>
              <c:numCache>
                <c:formatCode>0.0%;\-0.0%;\-</c:formatCode>
                <c:ptCount val="11"/>
                <c:pt idx="0">
                  <c:v>0.833075862068965</c:v>
                </c:pt>
                <c:pt idx="1">
                  <c:v>1.00199023268773</c:v>
                </c:pt>
                <c:pt idx="2">
                  <c:v>1.01691894133603</c:v>
                </c:pt>
                <c:pt idx="3">
                  <c:v>1.01369904242015</c:v>
                </c:pt>
                <c:pt idx="4">
                  <c:v>1.00182851816633</c:v>
                </c:pt>
                <c:pt idx="5">
                  <c:v>0.996506246805071</c:v>
                </c:pt>
                <c:pt idx="6">
                  <c:v>0.990553845509664</c:v>
                </c:pt>
                <c:pt idx="7">
                  <c:v>0.982847628007975</c:v>
                </c:pt>
                <c:pt idx="8">
                  <c:v>0.974819952326335</c:v>
                </c:pt>
                <c:pt idx="9">
                  <c:v>0.969566370121473</c:v>
                </c:pt>
                <c:pt idx="10">
                  <c:v>0.962039956158487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172881"/>
        <c:axId val="57898952"/>
      </c:lineChart>
      <c:catAx>
        <c:axId val="731728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98952"/>
        <c:crosses val="autoZero"/>
        <c:auto val="1"/>
        <c:lblAlgn val="ctr"/>
        <c:lblOffset val="100"/>
        <c:noMultiLvlLbl val="0"/>
      </c:catAx>
      <c:valAx>
        <c:axId val="57898952"/>
        <c:scaling>
          <c:orientation val="minMax"/>
          <c:min val="0.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PIB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728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Abanico: reservas brutas (USD mm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"P10"</c:f>
              <c:strCache>
                <c:ptCount val="1"/>
                <c:pt idx="0">
                  <c:v>P10</c:v>
                </c:pt>
              </c:strCache>
            </c:strRef>
          </c:tx>
          <c:spPr>
            <a:solidFill>
              <a:srgbClr val="9ec5f4"/>
            </a:solidFill>
            <a:ln w="21960">
              <a:solidFill>
                <a:srgbClr val="9ec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Estocastico!$C$13:$M$13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Estocastico!$C$14:$M$14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4.55569377795482</c:v>
                </c:pt>
                <c:pt idx="3">
                  <c:v>4.14876087812385</c:v>
                </c:pt>
                <c:pt idx="4">
                  <c:v>3.82801730517832</c:v>
                </c:pt>
                <c:pt idx="5">
                  <c:v>3.41873883140577</c:v>
                </c:pt>
                <c:pt idx="6">
                  <c:v>3.36884013447891</c:v>
                </c:pt>
                <c:pt idx="7">
                  <c:v>3.43538630562832</c:v>
                </c:pt>
                <c:pt idx="8">
                  <c:v>3.48755639769301</c:v>
                </c:pt>
                <c:pt idx="9">
                  <c:v>3.49786847374282</c:v>
                </c:pt>
                <c:pt idx="10">
                  <c:v>3.61582890347588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"P25"</c:f>
              <c:strCache>
                <c:ptCount val="1"/>
                <c:pt idx="0">
                  <c:v>P25</c:v>
                </c:pt>
              </c:strCache>
            </c:strRef>
          </c:tx>
          <c:spPr>
            <a:solidFill>
              <a:srgbClr val="5a9be8"/>
            </a:solidFill>
            <a:ln w="21960">
              <a:solidFill>
                <a:srgbClr val="5a9be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Estocastico!$C$13:$M$13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Estocastico!$C$15:$M$15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5.41978856498736</c:v>
                </c:pt>
                <c:pt idx="3">
                  <c:v>5.59258908304746</c:v>
                </c:pt>
                <c:pt idx="4">
                  <c:v>5.41308911141927</c:v>
                </c:pt>
                <c:pt idx="5">
                  <c:v>4.70456182332982</c:v>
                </c:pt>
                <c:pt idx="6">
                  <c:v>4.49938315121029</c:v>
                </c:pt>
                <c:pt idx="7">
                  <c:v>4.55219214930717</c:v>
                </c:pt>
                <c:pt idx="8">
                  <c:v>4.52520472916349</c:v>
                </c:pt>
                <c:pt idx="9">
                  <c:v>4.58844253351086</c:v>
                </c:pt>
                <c:pt idx="10">
                  <c:v>4.70396743284215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"P50"</c:f>
              <c:strCache>
                <c:ptCount val="1"/>
                <c:pt idx="0">
                  <c:v>P50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Estocastico!$C$13:$M$13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Estocastico!$C$16:$M$16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6.5292202310509</c:v>
                </c:pt>
                <c:pt idx="3">
                  <c:v>7.50719424461435</c:v>
                </c:pt>
                <c:pt idx="4">
                  <c:v>8.03953865021816</c:v>
                </c:pt>
                <c:pt idx="5">
                  <c:v>7.84884245827497</c:v>
                </c:pt>
                <c:pt idx="6">
                  <c:v>7.72766932554521</c:v>
                </c:pt>
                <c:pt idx="7">
                  <c:v>7.57962190574582</c:v>
                </c:pt>
                <c:pt idx="8">
                  <c:v>7.55453407620164</c:v>
                </c:pt>
                <c:pt idx="9">
                  <c:v>7.64295291712508</c:v>
                </c:pt>
                <c:pt idx="10">
                  <c:v>7.72117375457067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"P75"</c:f>
              <c:strCache>
                <c:ptCount val="1"/>
                <c:pt idx="0">
                  <c:v>P75</c:v>
                </c:pt>
              </c:strCache>
            </c:strRef>
          </c:tx>
          <c:spPr>
            <a:solidFill>
              <a:srgbClr val="5a9be8"/>
            </a:solidFill>
            <a:ln w="21960">
              <a:solidFill>
                <a:srgbClr val="5a9be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Estocastico!$C$13:$M$13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Estocastico!$C$17:$M$17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7.7514630583495</c:v>
                </c:pt>
                <c:pt idx="3">
                  <c:v>9.64706042494035</c:v>
                </c:pt>
                <c:pt idx="4">
                  <c:v>11.2622308908853</c:v>
                </c:pt>
                <c:pt idx="5">
                  <c:v>12.0259931989409</c:v>
                </c:pt>
                <c:pt idx="6">
                  <c:v>12.6594280022566</c:v>
                </c:pt>
                <c:pt idx="7">
                  <c:v>12.9139773110479</c:v>
                </c:pt>
                <c:pt idx="8">
                  <c:v>13.0985281680249</c:v>
                </c:pt>
                <c:pt idx="9">
                  <c:v>13.2460355004691</c:v>
                </c:pt>
                <c:pt idx="10">
                  <c:v>13.688942893655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"P90"</c:f>
              <c:strCache>
                <c:ptCount val="1"/>
                <c:pt idx="0">
                  <c:v>P90</c:v>
                </c:pt>
              </c:strCache>
            </c:strRef>
          </c:tx>
          <c:spPr>
            <a:solidFill>
              <a:srgbClr val="9ec5f4"/>
            </a:solidFill>
            <a:ln w="21960">
              <a:solidFill>
                <a:srgbClr val="9ec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Estocastico!$C$13:$M$13</c:f>
              <c:multiLvlStrCache>
                <c:ptCount val="1"/>
                <c:lvl>
                  <c:pt idx="0">
                    <c:v>2035</c:v>
                  </c:pt>
                </c:lvl>
                <c:lvl>
                  <c:pt idx="0">
                    <c:v>2034</c:v>
                  </c:pt>
                </c:lvl>
                <c:lvl>
                  <c:pt idx="0">
                    <c:v>2033</c:v>
                  </c:pt>
                </c:lvl>
                <c:lvl>
                  <c:pt idx="0">
                    <c:v>2032</c:v>
                  </c:pt>
                </c:lvl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Estocastico!$C$18:$M$18</c:f>
              <c:numCache>
                <c:formatCode>0.00;\(0.00\);\-</c:formatCode>
                <c:ptCount val="11"/>
                <c:pt idx="0">
                  <c:v>3.81</c:v>
                </c:pt>
                <c:pt idx="1">
                  <c:v>5.1938</c:v>
                </c:pt>
                <c:pt idx="2">
                  <c:v>8.8813280927284</c:v>
                </c:pt>
                <c:pt idx="3">
                  <c:v>11.7528601126176</c:v>
                </c:pt>
                <c:pt idx="4">
                  <c:v>14.4997278490199</c:v>
                </c:pt>
                <c:pt idx="5">
                  <c:v>16.4231205270649</c:v>
                </c:pt>
                <c:pt idx="6">
                  <c:v>17.8480248340803</c:v>
                </c:pt>
                <c:pt idx="7">
                  <c:v>19.0167156075886</c:v>
                </c:pt>
                <c:pt idx="8">
                  <c:v>19.8567091300079</c:v>
                </c:pt>
                <c:pt idx="9">
                  <c:v>20.3629051569956</c:v>
                </c:pt>
                <c:pt idx="10">
                  <c:v>21.1599969943944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958402"/>
        <c:axId val="4640917"/>
      </c:lineChart>
      <c:catAx>
        <c:axId val="96958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0917"/>
        <c:crosses val="autoZero"/>
        <c:auto val="1"/>
        <c:lblAlgn val="ctr"/>
        <c:lblOffset val="100"/>
        <c:noMultiLvlLbl val="0"/>
      </c:catAx>
      <c:valAx>
        <c:axId val="46409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mm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584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160920</xdr:rowOff>
    </xdr:from>
    <xdr:to>
      <xdr:col>26</xdr:col>
      <xdr:colOff>581400</xdr:colOff>
      <xdr:row>23</xdr:row>
      <xdr:rowOff>119880</xdr:rowOff>
    </xdr:to>
    <xdr:graphicFrame>
      <xdr:nvGraphicFramePr>
        <xdr:cNvPr id="0" name="Chart 1"/>
        <xdr:cNvGraphicFramePr/>
      </xdr:nvGraphicFramePr>
      <xdr:xfrm>
        <a:off x="10831680" y="5716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25</xdr:row>
      <xdr:rowOff>160560</xdr:rowOff>
    </xdr:from>
    <xdr:to>
      <xdr:col>26</xdr:col>
      <xdr:colOff>581400</xdr:colOff>
      <xdr:row>46</xdr:row>
      <xdr:rowOff>119520</xdr:rowOff>
    </xdr:to>
    <xdr:graphicFrame>
      <xdr:nvGraphicFramePr>
        <xdr:cNvPr id="1" name="Chart 2"/>
        <xdr:cNvGraphicFramePr/>
      </xdr:nvGraphicFramePr>
      <xdr:xfrm>
        <a:off x="10831680" y="49528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48</xdr:row>
      <xdr:rowOff>160560</xdr:rowOff>
    </xdr:from>
    <xdr:to>
      <xdr:col>26</xdr:col>
      <xdr:colOff>581400</xdr:colOff>
      <xdr:row>69</xdr:row>
      <xdr:rowOff>119880</xdr:rowOff>
    </xdr:to>
    <xdr:graphicFrame>
      <xdr:nvGraphicFramePr>
        <xdr:cNvPr id="2" name="Chart 3"/>
        <xdr:cNvGraphicFramePr/>
      </xdr:nvGraphicFramePr>
      <xdr:xfrm>
        <a:off x="10831680" y="933444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160560</xdr:rowOff>
    </xdr:from>
    <xdr:to>
      <xdr:col>26</xdr:col>
      <xdr:colOff>581760</xdr:colOff>
      <xdr:row>23</xdr:row>
      <xdr:rowOff>119880</xdr:rowOff>
    </xdr:to>
    <xdr:graphicFrame>
      <xdr:nvGraphicFramePr>
        <xdr:cNvPr id="3" name="Chart 1"/>
        <xdr:cNvGraphicFramePr/>
      </xdr:nvGraphicFramePr>
      <xdr:xfrm>
        <a:off x="11395800" y="91440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25</xdr:row>
      <xdr:rowOff>160560</xdr:rowOff>
    </xdr:from>
    <xdr:to>
      <xdr:col>26</xdr:col>
      <xdr:colOff>581760</xdr:colOff>
      <xdr:row>46</xdr:row>
      <xdr:rowOff>119880</xdr:rowOff>
    </xdr:to>
    <xdr:graphicFrame>
      <xdr:nvGraphicFramePr>
        <xdr:cNvPr id="4" name="Chart 2"/>
        <xdr:cNvGraphicFramePr/>
      </xdr:nvGraphicFramePr>
      <xdr:xfrm>
        <a:off x="11395800" y="52959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imf.org/en/news/articles/2026/07/29/pr26268-bolivia-imf-reaches-staff-level-agreement-on-an-extended-fund-facility-arrangement" TargetMode="External"/><Relationship Id="rId2" Type="http://schemas.openxmlformats.org/officeDocument/2006/relationships/hyperlink" Target="https://www.riotimesonline.com/bolivia-imf-loan-approved-214-million-expats-2026/" TargetMode="External"/><Relationship Id="rId3" Type="http://schemas.openxmlformats.org/officeDocument/2006/relationships/hyperlink" Target="https://fmbolivia.com.bo/nacional/deuda-publica-de-bolivia-llegaria-al-100-2-del-pib-en-2026-segun-informe-tecnico-del-fmi-21327" TargetMode="External"/><Relationship Id="rId4" Type="http://schemas.openxmlformats.org/officeDocument/2006/relationships/hyperlink" Target="https://fmlapaz.bo/fmi-hace-publico-el-acuerdo-con-bolivia-us-1-900-millones-ajuste-del-85-del-pib-y-eliminacion-del-subsidio-a-los-combustibles-en-2027/" TargetMode="External"/><Relationship Id="rId5" Type="http://schemas.openxmlformats.org/officeDocument/2006/relationships/hyperlink" Target="https://www.vision360.bo/noticias/2026/10/13/72357-fmi-bolivia-sera-la-unica-economia-de-sudamerica-que-se-contraera-en-2026-y-2027" TargetMode="External"/><Relationship Id="rId6" Type="http://schemas.openxmlformats.org/officeDocument/2006/relationships/hyperlink" Target="https://unitel.bo/noticias/agencias/deuda-externa-publica-de-bolivia-llega-a-14117-millones-de-dolares-a-septiembre-de-2026-OC24040790" TargetMode="External"/><Relationship Id="rId7" Type="http://schemas.openxmlformats.org/officeDocument/2006/relationships/hyperlink" Target="https://www.bcb.gob.bo/webdocs/publicacionesbcb/2026/03/31/BOP%202025%20(4).pdf" TargetMode="External"/><Relationship Id="rId8" Type="http://schemas.openxmlformats.org/officeDocument/2006/relationships/hyperlink" Target="https://www.bcb.gob.bo/webdocs/publicacionesbcb/2026/02/03/Resumen%20de%20cifras%20(WEB).pdf" TargetMode="External"/><Relationship Id="rId9" Type="http://schemas.openxmlformats.org/officeDocument/2006/relationships/hyperlink" Target="https://eju.tv/2026/10/bolivia-registro-un-saldo-comercial-superior-a-us-2-000-millones-entre-enero-y-agosto-de-este-ano-segun-el-ine/" TargetMode="External"/><Relationship Id="rId10" Type="http://schemas.openxmlformats.org/officeDocument/2006/relationships/hyperlink" Target="https://www.ibce.org.bo//images/ibcecifras_documentos/Cifras_1.441_Exportaciones_junio_2026_1786634430.pdf" TargetMode="External"/><Relationship Id="rId11" Type="http://schemas.openxmlformats.org/officeDocument/2006/relationships/hyperlink" Target="https://unitel.bo/noticias/economia/bolivia-registro-una-caida-cercana-a-us-540-millones-en-la-exportacion-de-gas-en-2025-segun-el-ine-PL19126328" TargetMode="External"/><Relationship Id="rId12" Type="http://schemas.openxmlformats.org/officeDocument/2006/relationships/hyperlink" Target="https://correodelsur.com/economia/20260227/cepal-el-pib-nominal-de-bolivia-llego-a-us-55-000-millones-en-2025.html" TargetMode="External"/><Relationship Id="rId13" Type="http://schemas.openxmlformats.org/officeDocument/2006/relationships/hyperlink" Target="https://www.dentons.com/en/insights/alerts/2026/july/1/bolivia-adopts-a-flexible-exchange-rate-regime" TargetMode="External"/><Relationship Id="rId14" Type="http://schemas.openxmlformats.org/officeDocument/2006/relationships/hyperlink" Target="https://www.bcb.gob.bo/tiposDeCambioHistorico/pdf.php?anio=2026" TargetMode="External"/><Relationship Id="rId15" Type="http://schemas.openxmlformats.org/officeDocument/2006/relationships/hyperlink" Target="https://eju.tv/2026/10/reservas-liquidas-del-bcb-crecen-a-mas-de-us-1-000-millones-tras-el-desembolso-del-fmi/" TargetMode="External"/><Relationship Id="rId16" Type="http://schemas.openxmlformats.org/officeDocument/2006/relationships/hyperlink" Target="https://www.jubileobolivia.org.bo/Publicaciones/Presupuestos-y-Fiscalidad/Deuda-Interna:-El-BCB-es-el-mayor-acreedor-con-546" TargetMode="External"/><Relationship Id="rId17" Type="http://schemas.openxmlformats.org/officeDocument/2006/relationships/hyperlink" Target="https://www.economiayfinanzas.gob.bo/viceministerios/vtcp/deuda-interna-tgn" TargetMode="External"/><Relationship Id="rId18" Type="http://schemas.openxmlformats.org/officeDocument/2006/relationships/hyperlink" Target="https://riosmauricio.com/2026/04/algunas-medias-verdades-sobre-los-bonos-soberanos-2028-de-bolivia/" TargetMode="External"/><Relationship Id="rId19" Type="http://schemas.openxmlformats.org/officeDocument/2006/relationships/hyperlink" Target="https://www.infobae.com/america/america-latina/2026/09/19/el-congreso-de-bolivia-aprobo-el-acuerdo-de-financiamiento-con-el-fmi-por-usd-1900-millones/" TargetMode="External"/><Relationship Id="rId20" Type="http://schemas.openxmlformats.org/officeDocument/2006/relationships/hyperlink" Target="http://findevlab.org/wp-content/uploads/2026/04/FDL_Policy-Note-34_A-New-Day-for-Bolivia_The-Anatomy-of-a-Crisis-and-the-Options-Ahead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"/>
    <col collapsed="false" customWidth="true" hidden="false" outlineLevel="0" max="8" min="3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3" t="s">
        <v>4</v>
      </c>
      <c r="C6" s="5" t="n">
        <v>1</v>
      </c>
      <c r="D6" s="3" t="str">
        <f aca="false">INDEX(Supuestos!$B$81:$B$88,C6)</f>
        <v>Base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6" t="s">
        <v>6</v>
      </c>
      <c r="B9" s="7"/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</row>
    <row r="10" customFormat="false" ht="15" hidden="false" customHeight="false" outlineLevel="0" collapsed="false">
      <c r="A10" s="8" t="s">
        <v>12</v>
      </c>
      <c r="C10" s="9" t="n">
        <f aca="false">Indicadores!D6</f>
        <v>1.00199023268773</v>
      </c>
      <c r="D10" s="9" t="n">
        <f aca="false">Indicadores!E6</f>
        <v>0.99288556485854</v>
      </c>
      <c r="E10" s="9" t="n">
        <f aca="false">Indicadores!G6</f>
        <v>0.940340295091229</v>
      </c>
      <c r="F10" s="9" t="n">
        <f aca="false">Indicadores!I6</f>
        <v>0.89207426716005</v>
      </c>
      <c r="G10" s="9" t="n">
        <f aca="false">Indicadores!M6</f>
        <v>0.840579892310637</v>
      </c>
    </row>
    <row r="11" customFormat="false" ht="15" hidden="false" customHeight="false" outlineLevel="0" collapsed="false">
      <c r="A11" s="8" t="s">
        <v>13</v>
      </c>
      <c r="C11" s="9" t="n">
        <f aca="false">Indicadores!D7</f>
        <v>0.699947625091042</v>
      </c>
      <c r="D11" s="9" t="n">
        <f aca="false">Indicadores!E7</f>
        <v>0.710736578631723</v>
      </c>
      <c r="E11" s="9" t="n">
        <f aca="false">Indicadores!G7</f>
        <v>0.695714570056816</v>
      </c>
      <c r="F11" s="9" t="n">
        <f aca="false">Indicadores!I7</f>
        <v>0.67255970948228</v>
      </c>
      <c r="G11" s="9" t="n">
        <f aca="false">Indicadores!M7</f>
        <v>0.679039068780073</v>
      </c>
    </row>
    <row r="12" customFormat="false" ht="15" hidden="false" customHeight="false" outlineLevel="0" collapsed="false">
      <c r="A12" s="8" t="s">
        <v>14</v>
      </c>
      <c r="C12" s="9" t="n">
        <f aca="false">Indicadores!D8</f>
        <v>0.212920444991712</v>
      </c>
      <c r="D12" s="9" t="n">
        <f aca="false">Indicadores!E8</f>
        <v>0.200608464753688</v>
      </c>
      <c r="E12" s="9" t="n">
        <f aca="false">Indicadores!G8</f>
        <v>0.1609780119437</v>
      </c>
      <c r="F12" s="9" t="n">
        <f aca="false">Indicadores!I8</f>
        <v>0.154003528016859</v>
      </c>
      <c r="G12" s="9" t="n">
        <f aca="false">Indicadores!M8</f>
        <v>0.142939983740314</v>
      </c>
    </row>
    <row r="13" customFormat="false" ht="15" hidden="false" customHeight="false" outlineLevel="0" collapsed="false">
      <c r="A13" s="8" t="s">
        <v>15</v>
      </c>
      <c r="C13" s="9" t="n">
        <f aca="false">Indicadores!D9</f>
        <v>-0.0920151573213441</v>
      </c>
      <c r="D13" s="9" t="n">
        <f aca="false">Indicadores!E9</f>
        <v>-0.0670005277217472</v>
      </c>
      <c r="E13" s="9" t="n">
        <f aca="false">Indicadores!G9</f>
        <v>-0.0319959967302388</v>
      </c>
      <c r="F13" s="9" t="n">
        <f aca="false">Indicadores!I9</f>
        <v>-0.0300450898780289</v>
      </c>
      <c r="G13" s="9" t="n">
        <f aca="false">Indicadores!M9</f>
        <v>-0.0300239655989926</v>
      </c>
    </row>
    <row r="14" customFormat="false" ht="15" hidden="false" customHeight="false" outlineLevel="0" collapsed="false">
      <c r="A14" s="8" t="s">
        <v>16</v>
      </c>
      <c r="C14" s="9" t="n">
        <f aca="false">Indicadores!D14</f>
        <v>0.390568515719901</v>
      </c>
      <c r="D14" s="9" t="n">
        <f aca="false">Indicadores!E14</f>
        <v>0.483804884432657</v>
      </c>
      <c r="E14" s="9" t="n">
        <f aca="false">Indicadores!G14</f>
        <v>0.497464739158928</v>
      </c>
      <c r="F14" s="9" t="n">
        <f aca="false">Indicadores!I14</f>
        <v>0.461564173665468</v>
      </c>
      <c r="G14" s="9" t="n">
        <f aca="false">Indicadores!M14</f>
        <v>0.426249836380122</v>
      </c>
    </row>
    <row r="15" customFormat="false" ht="15" hidden="false" customHeight="false" outlineLevel="0" collapsed="false">
      <c r="A15" s="8" t="s">
        <v>17</v>
      </c>
      <c r="C15" s="9" t="n">
        <f aca="false">Indicadores!D17</f>
        <v>0.121926470588235</v>
      </c>
      <c r="D15" s="9" t="n">
        <f aca="false">Indicadores!E17</f>
        <v>0.138600177874856</v>
      </c>
      <c r="E15" s="9" t="n">
        <f aca="false">Indicadores!G17</f>
        <v>0.151102169892699</v>
      </c>
      <c r="F15" s="9" t="n">
        <f aca="false">Indicadores!I17</f>
        <v>0.157708927887282</v>
      </c>
      <c r="G15" s="9" t="n">
        <f aca="false">Indicadores!M17</f>
        <v>0.167822685010964</v>
      </c>
    </row>
    <row r="16" customFormat="false" ht="15" hidden="false" customHeight="false" outlineLevel="0" collapsed="false">
      <c r="A16" s="8" t="s">
        <v>18</v>
      </c>
      <c r="C16" s="9" t="n">
        <f aca="false">Indicadores!D18</f>
        <v>0.0133543433515717</v>
      </c>
      <c r="D16" s="9" t="n">
        <f aca="false">Indicadores!E18</f>
        <v>0.0112912664954444</v>
      </c>
      <c r="E16" s="9" t="n">
        <f aca="false">Indicadores!G18</f>
        <v>-0.0154678961626428</v>
      </c>
      <c r="F16" s="9" t="n">
        <f aca="false">Indicadores!I18</f>
        <v>-0.0295688770502413</v>
      </c>
      <c r="G16" s="9" t="n">
        <f aca="false">Indicadores!M18</f>
        <v>-0.00575903644323483</v>
      </c>
    </row>
    <row r="17" customFormat="false" ht="15" hidden="false" customHeight="false" outlineLevel="0" collapsed="false">
      <c r="A17" s="8" t="s">
        <v>19</v>
      </c>
      <c r="C17" s="10" t="n">
        <f aca="false">Indicadores!D19</f>
        <v>5.1938</v>
      </c>
      <c r="D17" s="10" t="n">
        <f aca="false">Indicadores!E19</f>
        <v>6.574278732</v>
      </c>
      <c r="E17" s="10" t="n">
        <f aca="false">Indicadores!G19</f>
        <v>8.03133680108699</v>
      </c>
      <c r="F17" s="10" t="n">
        <f aca="false">Indicadores!I19</f>
        <v>7.1117230629711</v>
      </c>
      <c r="G17" s="10" t="n">
        <f aca="false">Indicadores!M19</f>
        <v>4.25324368481152</v>
      </c>
    </row>
    <row r="18" customFormat="false" ht="15" hidden="false" customHeight="false" outlineLevel="0" collapsed="false">
      <c r="A18" s="8" t="s">
        <v>20</v>
      </c>
      <c r="C18" s="11" t="n">
        <f aca="false">Indicadores!D20</f>
        <v>5.37289655172414</v>
      </c>
      <c r="D18" s="11" t="n">
        <f aca="false">Indicadores!E20</f>
        <v>6.90455926338403</v>
      </c>
      <c r="E18" s="11" t="n">
        <f aca="false">Indicadores!G20</f>
        <v>7.81692050196729</v>
      </c>
      <c r="F18" s="11" t="n">
        <f aca="false">Indicadores!I20</f>
        <v>6.32472085993472</v>
      </c>
      <c r="G18" s="11" t="n">
        <f aca="false">Indicadores!M20</f>
        <v>3.75128682412384</v>
      </c>
    </row>
    <row r="19" customFormat="false" ht="15" hidden="false" customHeight="false" outlineLevel="0" collapsed="false">
      <c r="A19" s="8" t="s">
        <v>21</v>
      </c>
      <c r="C19" s="12" t="n">
        <f aca="false">Indicadores!D25</f>
        <v>11.8</v>
      </c>
      <c r="D19" s="12" t="n">
        <f aca="false">Indicadores!E25</f>
        <v>12.755073313783</v>
      </c>
      <c r="E19" s="12" t="n">
        <f aca="false">Indicadores!G25</f>
        <v>13.6623474341216</v>
      </c>
      <c r="F19" s="12" t="n">
        <f aca="false">Indicadores!I25</f>
        <v>14.2559674868645</v>
      </c>
      <c r="G19" s="12" t="n">
        <f aca="false">Indicadores!M25</f>
        <v>19.6815268876207</v>
      </c>
    </row>
    <row r="20" customFormat="false" ht="15" hidden="false" customHeight="false" outlineLevel="0" collapsed="false">
      <c r="A20" s="8" t="s">
        <v>22</v>
      </c>
      <c r="C20" s="9" t="n">
        <f aca="false">Indicadores!D24</f>
        <v>0</v>
      </c>
      <c r="D20" s="9" t="n">
        <f aca="false">Indicadores!E24</f>
        <v>0</v>
      </c>
      <c r="E20" s="9" t="n">
        <f aca="false">Indicadores!G24</f>
        <v>0</v>
      </c>
      <c r="F20" s="9" t="n">
        <f aca="false">Indicadores!I24</f>
        <v>0</v>
      </c>
      <c r="G20" s="9" t="n">
        <f aca="false">Indicadores!M24</f>
        <v>0.0748583370277311</v>
      </c>
    </row>
    <row r="22" customFormat="false" ht="15" hidden="false" customHeight="false" outlineLevel="0" collapsed="false">
      <c r="A22" s="3" t="s">
        <v>23</v>
      </c>
    </row>
    <row r="23" customFormat="false" ht="15" hidden="false" customHeight="false" outlineLevel="0" collapsed="false">
      <c r="A23" s="13" t="s">
        <v>24</v>
      </c>
      <c r="C23" s="8" t="s">
        <v>25</v>
      </c>
    </row>
    <row r="24" customFormat="false" ht="15" hidden="false" customHeight="false" outlineLevel="0" collapsed="false">
      <c r="A24" s="8" t="s">
        <v>26</v>
      </c>
      <c r="C24" s="8" t="s">
        <v>27</v>
      </c>
    </row>
    <row r="25" customFormat="false" ht="15" hidden="false" customHeight="false" outlineLevel="0" collapsed="false">
      <c r="A25" s="14" t="s">
        <v>28</v>
      </c>
      <c r="C25" s="8" t="s">
        <v>29</v>
      </c>
    </row>
    <row r="26" customFormat="false" ht="15" hidden="false" customHeight="false" outlineLevel="0" collapsed="false">
      <c r="A26" s="15" t="s">
        <v>30</v>
      </c>
      <c r="C26" s="8" t="s">
        <v>31</v>
      </c>
    </row>
    <row r="27" customFormat="false" ht="15" hidden="false" customHeight="false" outlineLevel="0" collapsed="false">
      <c r="A27" s="16" t="s">
        <v>32</v>
      </c>
      <c r="C27" s="8" t="s">
        <v>33</v>
      </c>
    </row>
  </sheetData>
  <mergeCells count="1">
    <mergeCell ref="A5:H5"/>
  </mergeCells>
  <dataValidations count="1">
    <dataValidation allowBlank="false" errorStyle="stop" operator="between" showDropDown="false" showErrorMessage="false" showInputMessage="false" sqref="C6" type="whole">
      <formula1>1</formula1>
      <formula2>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13" min="3" style="0" width="10"/>
    <col collapsed="false" customWidth="true" hidden="false" outlineLevel="0" max="14" min="14" style="0" width="70"/>
  </cols>
  <sheetData>
    <row r="1" customFormat="false" ht="17.35" hidden="false" customHeight="false" outlineLevel="0" collapsed="false">
      <c r="A1" s="17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C3" s="18" t="s">
        <v>36</v>
      </c>
      <c r="D3" s="18" t="s">
        <v>37</v>
      </c>
    </row>
    <row r="4" customFormat="false" ht="15" hidden="false" customHeight="false" outlineLevel="0" collapsed="false">
      <c r="A4" s="6" t="s">
        <v>38</v>
      </c>
      <c r="B4" s="6" t="s">
        <v>39</v>
      </c>
      <c r="C4" s="19" t="s">
        <v>40</v>
      </c>
      <c r="D4" s="19" t="s">
        <v>7</v>
      </c>
      <c r="E4" s="19" t="s">
        <v>8</v>
      </c>
      <c r="F4" s="19" t="s">
        <v>41</v>
      </c>
      <c r="G4" s="19" t="s">
        <v>9</v>
      </c>
      <c r="H4" s="19" t="s">
        <v>42</v>
      </c>
      <c r="I4" s="19" t="s">
        <v>10</v>
      </c>
      <c r="J4" s="19" t="s">
        <v>43</v>
      </c>
      <c r="K4" s="19" t="s">
        <v>44</v>
      </c>
      <c r="L4" s="19" t="s">
        <v>45</v>
      </c>
      <c r="M4" s="19" t="s">
        <v>11</v>
      </c>
      <c r="N4" s="6" t="s">
        <v>46</v>
      </c>
    </row>
    <row r="5" customFormat="false" ht="15" hidden="false" customHeight="false" outlineLevel="0" collapsed="false">
      <c r="A5" s="20" t="s">
        <v>47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customFormat="false" ht="15" hidden="false" customHeight="false" outlineLevel="0" collapsed="false">
      <c r="A6" s="8" t="s">
        <v>48</v>
      </c>
      <c r="B6" s="2" t="s">
        <v>49</v>
      </c>
      <c r="C6" s="22" t="n">
        <v>-0.016</v>
      </c>
      <c r="D6" s="22" t="n">
        <v>-0.03</v>
      </c>
      <c r="E6" s="23" t="n">
        <v>-0.015</v>
      </c>
      <c r="F6" s="23" t="n">
        <v>0.005</v>
      </c>
      <c r="G6" s="23" t="n">
        <v>0.02</v>
      </c>
      <c r="H6" s="23" t="n">
        <v>0.025</v>
      </c>
      <c r="I6" s="23" t="n">
        <v>0.028</v>
      </c>
      <c r="J6" s="23" t="n">
        <v>0.028</v>
      </c>
      <c r="K6" s="23" t="n">
        <v>0.028</v>
      </c>
      <c r="L6" s="23" t="n">
        <v>0.028</v>
      </c>
      <c r="M6" s="23" t="n">
        <v>0.028</v>
      </c>
      <c r="N6" s="18" t="s">
        <v>50</v>
      </c>
    </row>
    <row r="7" customFormat="false" ht="15" hidden="false" customHeight="false" outlineLevel="0" collapsed="false">
      <c r="A7" s="8" t="s">
        <v>51</v>
      </c>
      <c r="B7" s="2" t="s">
        <v>49</v>
      </c>
      <c r="C7" s="22" t="n">
        <v>0.2</v>
      </c>
      <c r="D7" s="22" t="n">
        <v>0.18</v>
      </c>
      <c r="E7" s="23" t="n">
        <v>0.14</v>
      </c>
      <c r="F7" s="23" t="n">
        <v>0.09</v>
      </c>
      <c r="G7" s="23" t="n">
        <v>0.06</v>
      </c>
      <c r="H7" s="23" t="n">
        <v>0.05</v>
      </c>
      <c r="I7" s="23" t="n">
        <v>0.04</v>
      </c>
      <c r="J7" s="23" t="n">
        <v>0.04</v>
      </c>
      <c r="K7" s="23" t="n">
        <v>0.04</v>
      </c>
      <c r="L7" s="23" t="n">
        <v>0.04</v>
      </c>
      <c r="M7" s="23" t="n">
        <v>0.04</v>
      </c>
      <c r="N7" s="18" t="s">
        <v>52</v>
      </c>
    </row>
    <row r="8" customFormat="false" ht="15" hidden="false" customHeight="false" outlineLevel="0" collapsed="false">
      <c r="A8" s="8" t="s">
        <v>53</v>
      </c>
      <c r="B8" s="2" t="s">
        <v>49</v>
      </c>
      <c r="C8" s="22" t="n">
        <v>0.025</v>
      </c>
      <c r="D8" s="22" t="n">
        <v>0.025</v>
      </c>
      <c r="E8" s="23" t="n">
        <v>0.023</v>
      </c>
      <c r="F8" s="23" t="n">
        <v>0.023</v>
      </c>
      <c r="G8" s="23" t="n">
        <v>0.023</v>
      </c>
      <c r="H8" s="23" t="n">
        <v>0.023</v>
      </c>
      <c r="I8" s="23" t="n">
        <v>0.023</v>
      </c>
      <c r="J8" s="23" t="n">
        <v>0.023</v>
      </c>
      <c r="K8" s="23" t="n">
        <v>0.023</v>
      </c>
      <c r="L8" s="23" t="n">
        <v>0.023</v>
      </c>
      <c r="M8" s="23" t="n">
        <v>0.023</v>
      </c>
      <c r="N8" s="18" t="s">
        <v>54</v>
      </c>
    </row>
    <row r="9" customFormat="false" ht="15" hidden="false" customHeight="false" outlineLevel="0" collapsed="false">
      <c r="A9" s="8" t="s">
        <v>55</v>
      </c>
      <c r="B9" s="2" t="s">
        <v>49</v>
      </c>
      <c r="C9" s="24" t="n">
        <v>0</v>
      </c>
      <c r="D9" s="24" t="n">
        <v>0</v>
      </c>
      <c r="E9" s="24" t="n">
        <v>-0.03</v>
      </c>
      <c r="F9" s="24" t="n">
        <v>-0.02</v>
      </c>
      <c r="G9" s="24" t="n">
        <v>-0.01</v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0</v>
      </c>
      <c r="M9" s="24" t="n">
        <v>0</v>
      </c>
      <c r="N9" s="18" t="s">
        <v>56</v>
      </c>
    </row>
    <row r="10" customFormat="false" ht="15" hidden="false" customHeight="false" outlineLevel="0" collapsed="false">
      <c r="A10" s="8" t="s">
        <v>57</v>
      </c>
      <c r="B10" s="2" t="s">
        <v>58</v>
      </c>
      <c r="C10" s="25" t="n">
        <v>6.96</v>
      </c>
      <c r="D10" s="25" t="n">
        <v>11.8</v>
      </c>
      <c r="E10" s="26" t="n">
        <v>11.8</v>
      </c>
      <c r="F10" s="26" t="n">
        <v>11.8</v>
      </c>
      <c r="G10" s="26" t="n">
        <v>11.8</v>
      </c>
      <c r="H10" s="26" t="n">
        <v>11.8</v>
      </c>
      <c r="I10" s="26" t="n">
        <v>11.8</v>
      </c>
      <c r="J10" s="26" t="n">
        <v>11.8</v>
      </c>
      <c r="K10" s="26" t="n">
        <v>11.8</v>
      </c>
      <c r="L10" s="26" t="n">
        <v>11.8</v>
      </c>
      <c r="M10" s="26" t="n">
        <v>11.8</v>
      </c>
      <c r="N10" s="18" t="s">
        <v>59</v>
      </c>
    </row>
    <row r="11" customFormat="false" ht="15" hidden="false" customHeight="false" outlineLevel="0" collapsed="false">
      <c r="A11" s="20" t="s">
        <v>60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customFormat="false" ht="15" hidden="false" customHeight="false" outlineLevel="0" collapsed="false">
      <c r="A12" s="8" t="s">
        <v>61</v>
      </c>
      <c r="B12" s="2" t="s">
        <v>62</v>
      </c>
      <c r="C12" s="27" t="n">
        <v>100</v>
      </c>
      <c r="D12" s="27" t="n">
        <v>175</v>
      </c>
      <c r="E12" s="27" t="n">
        <v>161</v>
      </c>
      <c r="F12" s="27" t="n">
        <v>153</v>
      </c>
      <c r="G12" s="27" t="n">
        <v>153</v>
      </c>
      <c r="H12" s="27" t="n">
        <v>153</v>
      </c>
      <c r="I12" s="27" t="n">
        <v>153</v>
      </c>
      <c r="J12" s="27" t="n">
        <v>153</v>
      </c>
      <c r="K12" s="27" t="n">
        <v>153</v>
      </c>
      <c r="L12" s="27" t="n">
        <v>153</v>
      </c>
      <c r="M12" s="27" t="n">
        <v>153</v>
      </c>
      <c r="N12" s="18" t="s">
        <v>63</v>
      </c>
    </row>
    <row r="13" customFormat="false" ht="15" hidden="false" customHeight="false" outlineLevel="0" collapsed="false">
      <c r="A13" s="8" t="s">
        <v>64</v>
      </c>
      <c r="B13" s="2" t="s">
        <v>62</v>
      </c>
      <c r="C13" s="28" t="n">
        <v>100</v>
      </c>
      <c r="D13" s="28" t="n">
        <v>115</v>
      </c>
      <c r="E13" s="29" t="n">
        <v>115</v>
      </c>
      <c r="F13" s="29" t="n">
        <v>115</v>
      </c>
      <c r="G13" s="29" t="n">
        <v>115</v>
      </c>
      <c r="H13" s="29" t="n">
        <v>115</v>
      </c>
      <c r="I13" s="29" t="n">
        <v>115</v>
      </c>
      <c r="J13" s="29" t="n">
        <v>115</v>
      </c>
      <c r="K13" s="29" t="n">
        <v>115</v>
      </c>
      <c r="L13" s="29" t="n">
        <v>115</v>
      </c>
      <c r="M13" s="29" t="n">
        <v>115</v>
      </c>
      <c r="N13" s="18" t="s">
        <v>54</v>
      </c>
    </row>
    <row r="14" customFormat="false" ht="15" hidden="false" customHeight="false" outlineLevel="0" collapsed="false">
      <c r="A14" s="8" t="s">
        <v>65</v>
      </c>
      <c r="B14" s="2" t="s">
        <v>62</v>
      </c>
      <c r="C14" s="28" t="n">
        <v>100</v>
      </c>
      <c r="D14" s="28" t="n">
        <v>112</v>
      </c>
      <c r="E14" s="29" t="n">
        <v>100</v>
      </c>
      <c r="F14" s="29" t="n">
        <v>97</v>
      </c>
      <c r="G14" s="29" t="n">
        <v>97</v>
      </c>
      <c r="H14" s="29" t="n">
        <v>97</v>
      </c>
      <c r="I14" s="29" t="n">
        <v>97</v>
      </c>
      <c r="J14" s="29" t="n">
        <v>97</v>
      </c>
      <c r="K14" s="29" t="n">
        <v>97</v>
      </c>
      <c r="L14" s="29" t="n">
        <v>97</v>
      </c>
      <c r="M14" s="29" t="n">
        <v>97</v>
      </c>
      <c r="N14" s="18" t="s">
        <v>66</v>
      </c>
    </row>
    <row r="15" customFormat="false" ht="15" hidden="false" customHeight="false" outlineLevel="0" collapsed="false">
      <c r="A15" s="8" t="s">
        <v>67</v>
      </c>
      <c r="B15" s="2" t="s">
        <v>62</v>
      </c>
      <c r="C15" s="28" t="n">
        <v>100</v>
      </c>
      <c r="D15" s="28" t="n">
        <v>140</v>
      </c>
      <c r="E15" s="29" t="n">
        <v>129</v>
      </c>
      <c r="F15" s="29" t="n">
        <v>122</v>
      </c>
      <c r="G15" s="29" t="n">
        <v>122</v>
      </c>
      <c r="H15" s="29" t="n">
        <v>122</v>
      </c>
      <c r="I15" s="29" t="n">
        <v>122</v>
      </c>
      <c r="J15" s="29" t="n">
        <v>122</v>
      </c>
      <c r="K15" s="29" t="n">
        <v>122</v>
      </c>
      <c r="L15" s="29" t="n">
        <v>122</v>
      </c>
      <c r="M15" s="29" t="n">
        <v>122</v>
      </c>
      <c r="N15" s="18" t="s">
        <v>54</v>
      </c>
    </row>
    <row r="16" customFormat="false" ht="15" hidden="false" customHeight="false" outlineLevel="0" collapsed="false">
      <c r="A16" s="8" t="s">
        <v>68</v>
      </c>
      <c r="B16" s="2" t="s">
        <v>49</v>
      </c>
      <c r="C16" s="22" t="n">
        <v>0</v>
      </c>
      <c r="D16" s="22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18" t="s">
        <v>69</v>
      </c>
    </row>
    <row r="17" customFormat="false" ht="15" hidden="false" customHeight="false" outlineLevel="0" collapsed="false">
      <c r="A17" s="20" t="s">
        <v>70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customFormat="false" ht="15" hidden="false" customHeight="false" outlineLevel="0" collapsed="false">
      <c r="A18" s="8" t="s">
        <v>71</v>
      </c>
      <c r="B18" s="2" t="s">
        <v>49</v>
      </c>
      <c r="C18" s="22" t="n">
        <v>0</v>
      </c>
      <c r="D18" s="22" t="n">
        <v>0</v>
      </c>
      <c r="E18" s="23" t="n">
        <v>0.02</v>
      </c>
      <c r="F18" s="23" t="n">
        <v>0.02</v>
      </c>
      <c r="G18" s="23" t="n">
        <v>0.02</v>
      </c>
      <c r="H18" s="23" t="n">
        <v>0.02</v>
      </c>
      <c r="I18" s="23" t="n">
        <v>0.02</v>
      </c>
      <c r="J18" s="23" t="n">
        <v>0.02</v>
      </c>
      <c r="K18" s="23" t="n">
        <v>0.02</v>
      </c>
      <c r="L18" s="23" t="n">
        <v>0.02</v>
      </c>
      <c r="M18" s="23" t="n">
        <v>0.02</v>
      </c>
      <c r="N18" s="18" t="s">
        <v>54</v>
      </c>
    </row>
    <row r="19" customFormat="false" ht="15" hidden="false" customHeight="false" outlineLevel="0" collapsed="false">
      <c r="A19" s="8" t="s">
        <v>72</v>
      </c>
      <c r="B19" s="2" t="s">
        <v>49</v>
      </c>
      <c r="C19" s="22" t="n">
        <v>0</v>
      </c>
      <c r="D19" s="22" t="n">
        <v>0</v>
      </c>
      <c r="E19" s="23" t="n">
        <v>0.01</v>
      </c>
      <c r="F19" s="23" t="n">
        <v>0.01</v>
      </c>
      <c r="G19" s="23" t="n">
        <v>0.01</v>
      </c>
      <c r="H19" s="23" t="n">
        <v>0.01</v>
      </c>
      <c r="I19" s="23" t="n">
        <v>0.01</v>
      </c>
      <c r="J19" s="23" t="n">
        <v>0.01</v>
      </c>
      <c r="K19" s="23" t="n">
        <v>0.01</v>
      </c>
      <c r="L19" s="23" t="n">
        <v>0.01</v>
      </c>
      <c r="M19" s="23" t="n">
        <v>0.01</v>
      </c>
      <c r="N19" s="18" t="s">
        <v>54</v>
      </c>
    </row>
    <row r="20" customFormat="false" ht="15" hidden="false" customHeight="false" outlineLevel="0" collapsed="false">
      <c r="A20" s="8" t="s">
        <v>73</v>
      </c>
      <c r="B20" s="2" t="s">
        <v>49</v>
      </c>
      <c r="C20" s="24" t="n">
        <v>0</v>
      </c>
      <c r="D20" s="24" t="n">
        <v>0</v>
      </c>
      <c r="E20" s="24" t="n">
        <v>-0.12</v>
      </c>
      <c r="F20" s="24" t="n">
        <v>-0.12</v>
      </c>
      <c r="G20" s="24" t="n">
        <v>-0.12</v>
      </c>
      <c r="H20" s="24" t="n">
        <v>-0.12</v>
      </c>
      <c r="I20" s="24" t="n">
        <v>-0.06</v>
      </c>
      <c r="J20" s="24" t="n">
        <v>-0.06</v>
      </c>
      <c r="K20" s="24" t="n">
        <v>-0.06</v>
      </c>
      <c r="L20" s="24" t="n">
        <v>-0.06</v>
      </c>
      <c r="M20" s="24" t="n">
        <v>-0.06</v>
      </c>
      <c r="N20" s="18" t="s">
        <v>74</v>
      </c>
    </row>
    <row r="21" customFormat="false" ht="15" hidden="false" customHeight="false" outlineLevel="0" collapsed="false">
      <c r="A21" s="8" t="s">
        <v>75</v>
      </c>
      <c r="B21" s="2" t="s">
        <v>49</v>
      </c>
      <c r="C21" s="22" t="n">
        <v>0</v>
      </c>
      <c r="D21" s="22" t="n">
        <v>0</v>
      </c>
      <c r="E21" s="23" t="n">
        <v>0.03</v>
      </c>
      <c r="F21" s="23" t="n">
        <v>0.03</v>
      </c>
      <c r="G21" s="23" t="n">
        <v>0.03</v>
      </c>
      <c r="H21" s="23" t="n">
        <v>0.03</v>
      </c>
      <c r="I21" s="23" t="n">
        <v>0.03</v>
      </c>
      <c r="J21" s="23" t="n">
        <v>0.03</v>
      </c>
      <c r="K21" s="23" t="n">
        <v>0.03</v>
      </c>
      <c r="L21" s="23" t="n">
        <v>0.03</v>
      </c>
      <c r="M21" s="23" t="n">
        <v>0.03</v>
      </c>
      <c r="N21" s="18" t="s">
        <v>54</v>
      </c>
    </row>
    <row r="22" customFormat="false" ht="15" hidden="false" customHeight="false" outlineLevel="0" collapsed="false">
      <c r="A22" s="8" t="s">
        <v>76</v>
      </c>
      <c r="B22" s="2" t="s">
        <v>49</v>
      </c>
      <c r="C22" s="22" t="n">
        <v>0</v>
      </c>
      <c r="D22" s="22" t="n">
        <v>0</v>
      </c>
      <c r="E22" s="23" t="n">
        <v>-0.04</v>
      </c>
      <c r="F22" s="23" t="n">
        <v>0.02</v>
      </c>
      <c r="G22" s="23" t="n">
        <v>0.02</v>
      </c>
      <c r="H22" s="23" t="n">
        <v>0.02</v>
      </c>
      <c r="I22" s="23" t="n">
        <v>0.02</v>
      </c>
      <c r="J22" s="23" t="n">
        <v>0.02</v>
      </c>
      <c r="K22" s="23" t="n">
        <v>0.02</v>
      </c>
      <c r="L22" s="23" t="n">
        <v>0.02</v>
      </c>
      <c r="M22" s="23" t="n">
        <v>0.02</v>
      </c>
      <c r="N22" s="18" t="s">
        <v>77</v>
      </c>
    </row>
    <row r="23" customFormat="false" ht="15" hidden="false" customHeight="false" outlineLevel="0" collapsed="false">
      <c r="A23" s="20" t="s">
        <v>78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customFormat="false" ht="15" hidden="false" customHeight="false" outlineLevel="0" collapsed="false">
      <c r="A24" s="8" t="s">
        <v>79</v>
      </c>
      <c r="B24" s="2" t="s">
        <v>80</v>
      </c>
      <c r="C24" s="30" t="n">
        <v>2.8</v>
      </c>
      <c r="D24" s="30" t="n">
        <v>6.6</v>
      </c>
      <c r="N24" s="18" t="s">
        <v>81</v>
      </c>
    </row>
    <row r="25" customFormat="false" ht="15" hidden="false" customHeight="false" outlineLevel="0" collapsed="false">
      <c r="A25" s="8" t="s">
        <v>82</v>
      </c>
      <c r="B25" s="2" t="s">
        <v>80</v>
      </c>
      <c r="C25" s="30" t="n">
        <v>2.2</v>
      </c>
      <c r="D25" s="30" t="n">
        <v>2.7</v>
      </c>
      <c r="N25" s="18" t="s">
        <v>83</v>
      </c>
    </row>
    <row r="26" customFormat="false" ht="15" hidden="false" customHeight="false" outlineLevel="0" collapsed="false">
      <c r="A26" s="8" t="s">
        <v>84</v>
      </c>
      <c r="B26" s="2" t="s">
        <v>80</v>
      </c>
      <c r="C26" s="30" t="n">
        <v>1.6</v>
      </c>
      <c r="D26" s="30" t="n">
        <v>1</v>
      </c>
      <c r="N26" s="18" t="s">
        <v>85</v>
      </c>
    </row>
    <row r="27" customFormat="false" ht="15" hidden="false" customHeight="false" outlineLevel="0" collapsed="false">
      <c r="A27" s="8" t="s">
        <v>86</v>
      </c>
      <c r="B27" s="2" t="s">
        <v>80</v>
      </c>
      <c r="C27" s="30" t="n">
        <v>1.9</v>
      </c>
      <c r="D27" s="30" t="n">
        <v>2.2</v>
      </c>
      <c r="N27" s="18" t="s">
        <v>83</v>
      </c>
    </row>
    <row r="28" customFormat="false" ht="15" hidden="false" customHeight="false" outlineLevel="0" collapsed="false">
      <c r="A28" s="8" t="s">
        <v>87</v>
      </c>
      <c r="B28" s="2" t="s">
        <v>80</v>
      </c>
      <c r="C28" s="30" t="n">
        <v>1</v>
      </c>
      <c r="D28" s="30" t="n">
        <v>1.1</v>
      </c>
      <c r="N28" s="18" t="s">
        <v>83</v>
      </c>
    </row>
    <row r="29" customFormat="false" ht="15" hidden="false" customHeight="false" outlineLevel="0" collapsed="false">
      <c r="A29" s="8" t="s">
        <v>88</v>
      </c>
      <c r="B29" s="2" t="s">
        <v>80</v>
      </c>
      <c r="C29" s="30" t="n">
        <v>2.8</v>
      </c>
      <c r="D29" s="30" t="n">
        <v>2.8</v>
      </c>
      <c r="N29" s="18" t="s">
        <v>89</v>
      </c>
    </row>
    <row r="30" customFormat="false" ht="15" hidden="false" customHeight="false" outlineLevel="0" collapsed="false">
      <c r="A30" s="8" t="s">
        <v>90</v>
      </c>
      <c r="B30" s="2" t="s">
        <v>80</v>
      </c>
      <c r="C30" s="30" t="n">
        <v>6.37</v>
      </c>
      <c r="D30" s="30" t="n">
        <v>8.8</v>
      </c>
      <c r="N30" s="18" t="s">
        <v>91</v>
      </c>
    </row>
    <row r="31" customFormat="false" ht="15" hidden="false" customHeight="false" outlineLevel="0" collapsed="false">
      <c r="A31" s="8" t="s">
        <v>92</v>
      </c>
      <c r="B31" s="2" t="s">
        <v>80</v>
      </c>
      <c r="C31" s="30" t="n">
        <v>-1.5</v>
      </c>
      <c r="D31" s="30" t="n">
        <v>-1.4</v>
      </c>
      <c r="N31" s="18" t="s">
        <v>93</v>
      </c>
    </row>
    <row r="32" customFormat="false" ht="15" hidden="false" customHeight="false" outlineLevel="0" collapsed="false">
      <c r="A32" s="8" t="s">
        <v>94</v>
      </c>
      <c r="B32" s="2" t="s">
        <v>80</v>
      </c>
      <c r="C32" s="30" t="n">
        <v>1.05</v>
      </c>
      <c r="D32" s="30" t="n">
        <v>1.35</v>
      </c>
      <c r="N32" s="18" t="s">
        <v>95</v>
      </c>
    </row>
    <row r="33" customFormat="false" ht="15" hidden="false" customHeight="false" outlineLevel="0" collapsed="false">
      <c r="A33" s="20" t="s">
        <v>96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customFormat="false" ht="15" hidden="false" customHeight="false" outlineLevel="0" collapsed="false">
      <c r="A34" s="8" t="s">
        <v>97</v>
      </c>
      <c r="B34" s="2" t="s">
        <v>80</v>
      </c>
      <c r="C34" s="30" t="n">
        <v>0.1</v>
      </c>
      <c r="D34" s="30" t="n">
        <v>0.3</v>
      </c>
      <c r="E34" s="31" t="n">
        <v>0.5</v>
      </c>
      <c r="F34" s="31" t="n">
        <v>0.7</v>
      </c>
      <c r="G34" s="31" t="n">
        <v>0.9</v>
      </c>
      <c r="H34" s="31" t="n">
        <v>1</v>
      </c>
      <c r="I34" s="31" t="n">
        <v>1</v>
      </c>
      <c r="J34" s="31" t="n">
        <v>1</v>
      </c>
      <c r="K34" s="31" t="n">
        <v>1</v>
      </c>
      <c r="L34" s="31" t="n">
        <v>1</v>
      </c>
      <c r="M34" s="31" t="n">
        <v>1</v>
      </c>
      <c r="N34" s="18" t="s">
        <v>98</v>
      </c>
    </row>
    <row r="35" customFormat="false" ht="15" hidden="false" customHeight="false" outlineLevel="0" collapsed="false">
      <c r="A35" s="8" t="s">
        <v>99</v>
      </c>
      <c r="B35" s="2" t="s">
        <v>80</v>
      </c>
      <c r="C35" s="30" t="n">
        <v>1.3</v>
      </c>
      <c r="D35" s="30" t="n">
        <v>1.6</v>
      </c>
      <c r="E35" s="31" t="n">
        <v>2</v>
      </c>
      <c r="F35" s="31" t="n">
        <v>1.7</v>
      </c>
      <c r="G35" s="31" t="n">
        <v>1.5</v>
      </c>
      <c r="H35" s="31" t="n">
        <v>1.3</v>
      </c>
      <c r="I35" s="31" t="n">
        <v>1.3</v>
      </c>
      <c r="J35" s="31" t="n">
        <v>1.3</v>
      </c>
      <c r="K35" s="31" t="n">
        <v>1.3</v>
      </c>
      <c r="L35" s="31" t="n">
        <v>1.3</v>
      </c>
      <c r="M35" s="31" t="n">
        <v>1.3</v>
      </c>
      <c r="N35" s="18" t="s">
        <v>100</v>
      </c>
    </row>
    <row r="36" customFormat="false" ht="15" hidden="false" customHeight="false" outlineLevel="0" collapsed="false">
      <c r="A36" s="8" t="s">
        <v>101</v>
      </c>
      <c r="B36" s="2" t="s">
        <v>80</v>
      </c>
      <c r="C36" s="30" t="n">
        <v>1</v>
      </c>
      <c r="D36" s="30" t="n">
        <v>0.95</v>
      </c>
      <c r="E36" s="31" t="n">
        <v>1.05</v>
      </c>
      <c r="F36" s="31" t="n">
        <v>1.1</v>
      </c>
      <c r="G36" s="31" t="n">
        <v>1.05</v>
      </c>
      <c r="H36" s="31" t="n">
        <v>1.3</v>
      </c>
      <c r="I36" s="31" t="n">
        <v>1.1</v>
      </c>
      <c r="J36" s="31" t="n">
        <v>1.1</v>
      </c>
      <c r="K36" s="31" t="n">
        <v>1.15</v>
      </c>
      <c r="L36" s="31" t="n">
        <v>1.15</v>
      </c>
      <c r="M36" s="31" t="n">
        <v>1.2</v>
      </c>
      <c r="N36" s="18" t="s">
        <v>102</v>
      </c>
    </row>
    <row r="37" customFormat="false" ht="15" hidden="false" customHeight="false" outlineLevel="0" collapsed="false">
      <c r="A37" s="8" t="s">
        <v>103</v>
      </c>
      <c r="B37" s="2" t="s">
        <v>80</v>
      </c>
      <c r="C37" s="30" t="n">
        <v>0</v>
      </c>
      <c r="D37" s="30" t="n">
        <v>0</v>
      </c>
      <c r="E37" s="31" t="n">
        <v>0.3</v>
      </c>
      <c r="F37" s="31" t="n">
        <v>0.32</v>
      </c>
      <c r="G37" s="31" t="n">
        <v>0.2</v>
      </c>
      <c r="H37" s="31" t="n">
        <v>0.48</v>
      </c>
      <c r="I37" s="31" t="n">
        <v>0.2</v>
      </c>
      <c r="J37" s="31" t="n">
        <v>0</v>
      </c>
      <c r="K37" s="31" t="n">
        <v>0</v>
      </c>
      <c r="L37" s="31" t="n">
        <v>0</v>
      </c>
      <c r="M37" s="31" t="n">
        <v>0</v>
      </c>
      <c r="N37" s="18" t="s">
        <v>104</v>
      </c>
    </row>
    <row r="38" customFormat="false" ht="15" hidden="false" customHeight="false" outlineLevel="0" collapsed="false">
      <c r="A38" s="8" t="s">
        <v>105</v>
      </c>
      <c r="B38" s="2" t="s">
        <v>80</v>
      </c>
      <c r="C38" s="30" t="n">
        <v>0</v>
      </c>
      <c r="D38" s="30" t="n">
        <v>0</v>
      </c>
      <c r="E38" s="31" t="n">
        <v>0</v>
      </c>
      <c r="F38" s="31" t="n">
        <v>0</v>
      </c>
      <c r="G38" s="31" t="n">
        <v>0</v>
      </c>
      <c r="H38" s="31" t="n">
        <v>0</v>
      </c>
      <c r="I38" s="31" t="n">
        <v>0</v>
      </c>
      <c r="J38" s="31" t="n">
        <v>0.3</v>
      </c>
      <c r="K38" s="31" t="n">
        <v>0.32</v>
      </c>
      <c r="L38" s="31" t="n">
        <v>0.2</v>
      </c>
      <c r="M38" s="31" t="n">
        <v>0.48</v>
      </c>
      <c r="N38" s="18" t="s">
        <v>83</v>
      </c>
    </row>
    <row r="39" customFormat="false" ht="15" hidden="false" customHeight="false" outlineLevel="0" collapsed="false">
      <c r="A39" s="8" t="s">
        <v>106</v>
      </c>
      <c r="B39" s="2" t="s">
        <v>80</v>
      </c>
      <c r="C39" s="30" t="n">
        <v>0</v>
      </c>
      <c r="D39" s="30" t="n">
        <v>0.43</v>
      </c>
      <c r="E39" s="31" t="n">
        <v>0.62</v>
      </c>
      <c r="F39" s="31" t="n">
        <v>0.62</v>
      </c>
      <c r="G39" s="31" t="n">
        <v>0.23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18" t="s">
        <v>107</v>
      </c>
    </row>
    <row r="40" customFormat="false" ht="15" hidden="false" customHeight="false" outlineLevel="0" collapsed="false">
      <c r="A40" s="8" t="s">
        <v>108</v>
      </c>
      <c r="B40" s="2" t="s">
        <v>80</v>
      </c>
      <c r="C40" s="30" t="n">
        <v>-1.6</v>
      </c>
      <c r="D40" s="30" t="n">
        <v>-1.5</v>
      </c>
      <c r="E40" s="31" t="n">
        <v>-0.9</v>
      </c>
      <c r="F40" s="31" t="n">
        <v>-0.6</v>
      </c>
      <c r="G40" s="31" t="n">
        <v>-0.4</v>
      </c>
      <c r="H40" s="31" t="n">
        <v>-0.3</v>
      </c>
      <c r="I40" s="31" t="n">
        <v>-0.3</v>
      </c>
      <c r="J40" s="31" t="n">
        <v>-0.3</v>
      </c>
      <c r="K40" s="31" t="n">
        <v>-0.3</v>
      </c>
      <c r="L40" s="31" t="n">
        <v>-0.3</v>
      </c>
      <c r="M40" s="31" t="n">
        <v>-0.3</v>
      </c>
      <c r="N40" s="18" t="s">
        <v>109</v>
      </c>
    </row>
    <row r="41" customFormat="false" ht="15" hidden="false" customHeight="false" outlineLevel="0" collapsed="false">
      <c r="A41" s="20" t="s">
        <v>110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customFormat="false" ht="15" hidden="false" customHeight="false" outlineLevel="0" collapsed="false">
      <c r="A42" s="8" t="s">
        <v>111</v>
      </c>
      <c r="B42" s="2" t="s">
        <v>112</v>
      </c>
      <c r="C42" s="24" t="n">
        <v>-0.0715</v>
      </c>
      <c r="D42" s="24" t="n">
        <v>-0.0643</v>
      </c>
      <c r="E42" s="24" t="n">
        <v>-0.0343</v>
      </c>
      <c r="F42" s="24" t="n">
        <v>-0.0063</v>
      </c>
      <c r="G42" s="24" t="n">
        <v>0.0077</v>
      </c>
      <c r="H42" s="24" t="n">
        <v>0.007</v>
      </c>
      <c r="I42" s="24" t="n">
        <v>0.0043</v>
      </c>
      <c r="J42" s="24" t="n">
        <v>0.0041</v>
      </c>
      <c r="K42" s="24" t="n">
        <v>0.0034</v>
      </c>
      <c r="L42" s="24" t="n">
        <v>0.0019</v>
      </c>
      <c r="M42" s="24" t="n">
        <v>0.0015</v>
      </c>
      <c r="N42" s="18" t="s">
        <v>113</v>
      </c>
    </row>
    <row r="43" customFormat="false" ht="15" hidden="false" customHeight="false" outlineLevel="0" collapsed="false">
      <c r="A43" s="8" t="s">
        <v>114</v>
      </c>
      <c r="B43" s="2" t="s">
        <v>49</v>
      </c>
      <c r="C43" s="22" t="n">
        <v>0.5</v>
      </c>
      <c r="D43" s="22" t="n">
        <v>0.15</v>
      </c>
      <c r="E43" s="23" t="n">
        <v>0.05</v>
      </c>
      <c r="F43" s="23" t="n">
        <v>0</v>
      </c>
      <c r="G43" s="23" t="n">
        <v>0</v>
      </c>
      <c r="H43" s="23" t="n">
        <v>0</v>
      </c>
      <c r="I43" s="23" t="n">
        <v>0</v>
      </c>
      <c r="J43" s="23" t="n">
        <v>0</v>
      </c>
      <c r="K43" s="23" t="n">
        <v>0</v>
      </c>
      <c r="L43" s="23" t="n">
        <v>0</v>
      </c>
      <c r="M43" s="23" t="n">
        <v>0</v>
      </c>
      <c r="N43" s="18" t="s">
        <v>115</v>
      </c>
    </row>
    <row r="44" customFormat="false" ht="15" hidden="false" customHeight="false" outlineLevel="0" collapsed="false">
      <c r="A44" s="8" t="s">
        <v>116</v>
      </c>
      <c r="B44" s="2" t="s">
        <v>49</v>
      </c>
      <c r="C44" s="22" t="n">
        <v>0.05</v>
      </c>
      <c r="D44" s="22" t="n">
        <v>0.05</v>
      </c>
      <c r="E44" s="23" t="n">
        <v>0.065</v>
      </c>
      <c r="F44" s="23" t="n">
        <v>0.075</v>
      </c>
      <c r="G44" s="23" t="n">
        <v>0.075</v>
      </c>
      <c r="H44" s="23" t="n">
        <v>0.07</v>
      </c>
      <c r="I44" s="23" t="n">
        <v>0.065</v>
      </c>
      <c r="J44" s="23" t="n">
        <v>0.065</v>
      </c>
      <c r="K44" s="23" t="n">
        <v>0.065</v>
      </c>
      <c r="L44" s="23" t="n">
        <v>0.065</v>
      </c>
      <c r="M44" s="23" t="n">
        <v>0.065</v>
      </c>
      <c r="N44" s="18" t="s">
        <v>117</v>
      </c>
    </row>
    <row r="45" customFormat="false" ht="15" hidden="false" customHeight="false" outlineLevel="0" collapsed="false">
      <c r="A45" s="8" t="s">
        <v>118</v>
      </c>
      <c r="B45" s="2" t="s">
        <v>49</v>
      </c>
      <c r="C45" s="22" t="n">
        <v>0.045</v>
      </c>
      <c r="D45" s="22" t="n">
        <v>0.05</v>
      </c>
      <c r="E45" s="23" t="n">
        <v>0.052</v>
      </c>
      <c r="F45" s="23" t="n">
        <v>0.052</v>
      </c>
      <c r="G45" s="23" t="n">
        <v>0.052</v>
      </c>
      <c r="H45" s="23" t="n">
        <v>0.052</v>
      </c>
      <c r="I45" s="23" t="n">
        <v>0.052</v>
      </c>
      <c r="J45" s="23" t="n">
        <v>0.052</v>
      </c>
      <c r="K45" s="23" t="n">
        <v>0.052</v>
      </c>
      <c r="L45" s="23" t="n">
        <v>0.052</v>
      </c>
      <c r="M45" s="23" t="n">
        <v>0.052</v>
      </c>
      <c r="N45" s="18" t="s">
        <v>119</v>
      </c>
    </row>
    <row r="46" customFormat="false" ht="15" hidden="false" customHeight="false" outlineLevel="0" collapsed="false">
      <c r="A46" s="8" t="s">
        <v>120</v>
      </c>
      <c r="B46" s="2" t="s">
        <v>49</v>
      </c>
      <c r="C46" s="22" t="n">
        <v>0.55</v>
      </c>
      <c r="D46" s="22" t="n">
        <v>0.55</v>
      </c>
      <c r="E46" s="23" t="n">
        <v>0.53</v>
      </c>
      <c r="F46" s="23" t="n">
        <v>0.51</v>
      </c>
      <c r="G46" s="23" t="n">
        <v>0.49</v>
      </c>
      <c r="H46" s="23" t="n">
        <v>0.47</v>
      </c>
      <c r="I46" s="23" t="n">
        <v>0.45</v>
      </c>
      <c r="J46" s="23" t="n">
        <v>0.43</v>
      </c>
      <c r="K46" s="23" t="n">
        <v>0.41</v>
      </c>
      <c r="L46" s="23" t="n">
        <v>0.39</v>
      </c>
      <c r="M46" s="23" t="n">
        <v>0.37</v>
      </c>
      <c r="N46" s="18" t="s">
        <v>121</v>
      </c>
    </row>
    <row r="47" customFormat="false" ht="15" hidden="false" customHeight="false" outlineLevel="0" collapsed="false">
      <c r="A47" s="8" t="s">
        <v>122</v>
      </c>
      <c r="B47" s="2" t="s">
        <v>80</v>
      </c>
      <c r="C47" s="30" t="n">
        <v>2</v>
      </c>
      <c r="D47" s="30" t="n">
        <v>2</v>
      </c>
      <c r="E47" s="31" t="n">
        <v>2</v>
      </c>
      <c r="F47" s="31" t="n">
        <v>2</v>
      </c>
      <c r="G47" s="31" t="n">
        <v>2</v>
      </c>
      <c r="H47" s="31" t="n">
        <v>2</v>
      </c>
      <c r="I47" s="31" t="n">
        <v>2</v>
      </c>
      <c r="J47" s="31" t="n">
        <v>2</v>
      </c>
      <c r="K47" s="31" t="n">
        <v>2</v>
      </c>
      <c r="L47" s="31" t="n">
        <v>2</v>
      </c>
      <c r="M47" s="31" t="n">
        <v>2</v>
      </c>
      <c r="N47" s="18" t="s">
        <v>123</v>
      </c>
    </row>
    <row r="49" customFormat="false" ht="15" hidden="false" customHeight="false" outlineLevel="0" collapsed="false">
      <c r="A49" s="20" t="s">
        <v>124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customFormat="false" ht="15" hidden="false" customHeight="false" outlineLevel="0" collapsed="false">
      <c r="A50" s="8" t="s">
        <v>125</v>
      </c>
      <c r="C50" s="23" t="n">
        <v>0.45</v>
      </c>
      <c r="D50" s="18" t="s">
        <v>126</v>
      </c>
    </row>
    <row r="51" customFormat="false" ht="15" hidden="false" customHeight="false" outlineLevel="0" collapsed="false">
      <c r="A51" s="8" t="s">
        <v>127</v>
      </c>
      <c r="C51" s="23" t="n">
        <v>0.06</v>
      </c>
      <c r="D51" s="18" t="s">
        <v>128</v>
      </c>
    </row>
    <row r="52" customFormat="false" ht="15" hidden="false" customHeight="false" outlineLevel="0" collapsed="false">
      <c r="A52" s="8" t="s">
        <v>129</v>
      </c>
      <c r="C52" s="26" t="n">
        <v>0.5</v>
      </c>
      <c r="D52" s="18" t="s">
        <v>54</v>
      </c>
    </row>
    <row r="53" customFormat="false" ht="15" hidden="false" customHeight="false" outlineLevel="0" collapsed="false">
      <c r="A53" s="8" t="s">
        <v>130</v>
      </c>
      <c r="C53" s="26" t="n">
        <v>0.8</v>
      </c>
      <c r="D53" s="18" t="s">
        <v>54</v>
      </c>
    </row>
    <row r="54" customFormat="false" ht="15" hidden="false" customHeight="false" outlineLevel="0" collapsed="false">
      <c r="A54" s="8" t="s">
        <v>131</v>
      </c>
      <c r="C54" s="26" t="n">
        <v>1.2</v>
      </c>
      <c r="D54" s="18" t="s">
        <v>54</v>
      </c>
    </row>
    <row r="55" customFormat="false" ht="15" hidden="false" customHeight="false" outlineLevel="0" collapsed="false">
      <c r="A55" s="8" t="s">
        <v>132</v>
      </c>
      <c r="C55" s="26" t="n">
        <v>0.5</v>
      </c>
      <c r="D55" s="18" t="s">
        <v>133</v>
      </c>
    </row>
    <row r="56" customFormat="false" ht="15" hidden="false" customHeight="false" outlineLevel="0" collapsed="false">
      <c r="A56" s="8" t="s">
        <v>134</v>
      </c>
      <c r="C56" s="26" t="n">
        <v>0.15</v>
      </c>
      <c r="D56" s="18" t="s">
        <v>135</v>
      </c>
    </row>
    <row r="57" customFormat="false" ht="15" hidden="false" customHeight="false" outlineLevel="0" collapsed="false">
      <c r="A57" s="8" t="s">
        <v>136</v>
      </c>
      <c r="C57" s="23" t="n">
        <v>0.5</v>
      </c>
      <c r="D57" s="18" t="s">
        <v>54</v>
      </c>
    </row>
    <row r="58" customFormat="false" ht="15" hidden="false" customHeight="false" outlineLevel="0" collapsed="false">
      <c r="A58" s="8" t="s">
        <v>137</v>
      </c>
      <c r="C58" s="32" t="n">
        <v>2.5</v>
      </c>
      <c r="D58" s="18" t="s">
        <v>138</v>
      </c>
    </row>
    <row r="59" customFormat="false" ht="15" hidden="false" customHeight="false" outlineLevel="0" collapsed="false">
      <c r="A59" s="8" t="s">
        <v>139</v>
      </c>
      <c r="C59" s="32" t="n">
        <v>4</v>
      </c>
      <c r="D59" s="18" t="s">
        <v>138</v>
      </c>
    </row>
    <row r="60" customFormat="false" ht="15" hidden="false" customHeight="false" outlineLevel="0" collapsed="false">
      <c r="A60" s="8" t="s">
        <v>140</v>
      </c>
      <c r="C60" s="23" t="n">
        <v>0.5</v>
      </c>
      <c r="D60" s="18" t="s">
        <v>141</v>
      </c>
    </row>
    <row r="61" customFormat="false" ht="15" hidden="false" customHeight="false" outlineLevel="0" collapsed="false">
      <c r="A61" s="8" t="s">
        <v>142</v>
      </c>
      <c r="C61" s="26" t="n">
        <v>0.35</v>
      </c>
      <c r="D61" s="18" t="s">
        <v>143</v>
      </c>
    </row>
    <row r="62" customFormat="false" ht="15" hidden="false" customHeight="false" outlineLevel="0" collapsed="false">
      <c r="A62" s="8" t="s">
        <v>144</v>
      </c>
      <c r="C62" s="23" t="n">
        <v>0.02</v>
      </c>
      <c r="D62" s="18" t="s">
        <v>54</v>
      </c>
    </row>
    <row r="63" customFormat="false" ht="15" hidden="false" customHeight="false" outlineLevel="0" collapsed="false">
      <c r="A63" s="8" t="s">
        <v>145</v>
      </c>
      <c r="C63" s="23" t="n">
        <v>0.045</v>
      </c>
      <c r="D63" s="18" t="s">
        <v>54</v>
      </c>
    </row>
    <row r="64" customFormat="false" ht="15" hidden="false" customHeight="false" outlineLevel="0" collapsed="false">
      <c r="A64" s="8" t="s">
        <v>146</v>
      </c>
      <c r="C64" s="23" t="n">
        <v>0.06</v>
      </c>
      <c r="D64" s="18" t="s">
        <v>147</v>
      </c>
    </row>
    <row r="65" customFormat="false" ht="15" hidden="false" customHeight="false" outlineLevel="0" collapsed="false">
      <c r="A65" s="8" t="s">
        <v>148</v>
      </c>
      <c r="C65" s="23" t="n">
        <v>0.03</v>
      </c>
      <c r="D65" s="18" t="s">
        <v>54</v>
      </c>
    </row>
    <row r="66" customFormat="false" ht="15" hidden="false" customHeight="false" outlineLevel="0" collapsed="false">
      <c r="A66" s="8" t="s">
        <v>149</v>
      </c>
      <c r="C66" s="23" t="n">
        <v>0.055</v>
      </c>
      <c r="D66" s="18" t="s">
        <v>54</v>
      </c>
    </row>
    <row r="67" customFormat="false" ht="15" hidden="false" customHeight="false" outlineLevel="0" collapsed="false">
      <c r="A67" s="8" t="s">
        <v>150</v>
      </c>
      <c r="C67" s="26" t="n">
        <v>5</v>
      </c>
      <c r="D67" s="18" t="s">
        <v>151</v>
      </c>
    </row>
    <row r="68" customFormat="false" ht="15" hidden="false" customHeight="false" outlineLevel="0" collapsed="false">
      <c r="A68" s="8" t="s">
        <v>152</v>
      </c>
      <c r="C68" s="23" t="n">
        <v>0.4</v>
      </c>
      <c r="D68" s="18" t="s">
        <v>153</v>
      </c>
    </row>
    <row r="69" customFormat="false" ht="15" hidden="false" customHeight="false" outlineLevel="0" collapsed="false">
      <c r="A69" s="8" t="s">
        <v>154</v>
      </c>
      <c r="C69" s="26" t="n">
        <v>3</v>
      </c>
      <c r="D69" s="18" t="s">
        <v>155</v>
      </c>
    </row>
    <row r="70" customFormat="false" ht="15" hidden="false" customHeight="false" outlineLevel="0" collapsed="false">
      <c r="A70" s="8" t="s">
        <v>156</v>
      </c>
      <c r="C70" s="33" t="n">
        <v>382.8</v>
      </c>
      <c r="D70" s="18" t="s">
        <v>157</v>
      </c>
    </row>
    <row r="71" customFormat="false" ht="15" hidden="false" customHeight="false" outlineLevel="0" collapsed="false">
      <c r="A71" s="8" t="s">
        <v>158</v>
      </c>
      <c r="C71" s="26" t="n">
        <v>14.164</v>
      </c>
      <c r="D71" s="18" t="s">
        <v>159</v>
      </c>
    </row>
    <row r="72" customFormat="false" ht="15" hidden="false" customHeight="false" outlineLevel="0" collapsed="false">
      <c r="A72" s="8" t="s">
        <v>160</v>
      </c>
      <c r="C72" s="33" t="n">
        <v>206.4</v>
      </c>
      <c r="D72" s="18" t="s">
        <v>161</v>
      </c>
    </row>
    <row r="73" customFormat="false" ht="15" hidden="false" customHeight="false" outlineLevel="0" collapsed="false">
      <c r="A73" s="8" t="s">
        <v>162</v>
      </c>
      <c r="C73" s="26" t="n">
        <v>2.2</v>
      </c>
      <c r="D73" s="18" t="s">
        <v>163</v>
      </c>
    </row>
    <row r="74" customFormat="false" ht="15" hidden="false" customHeight="false" outlineLevel="0" collapsed="false">
      <c r="A74" s="8" t="s">
        <v>164</v>
      </c>
      <c r="C74" s="26" t="n">
        <v>1.61</v>
      </c>
      <c r="D74" s="18" t="s">
        <v>165</v>
      </c>
    </row>
    <row r="75" customFormat="false" ht="15" hidden="false" customHeight="false" outlineLevel="0" collapsed="false">
      <c r="A75" s="8" t="s">
        <v>166</v>
      </c>
      <c r="C75" s="23" t="n">
        <v>-0.114</v>
      </c>
      <c r="D75" s="18" t="s">
        <v>167</v>
      </c>
    </row>
    <row r="76" customFormat="false" ht="15" hidden="false" customHeight="false" outlineLevel="0" collapsed="false">
      <c r="A76" s="8" t="s">
        <v>168</v>
      </c>
      <c r="C76" s="26" t="n">
        <v>0</v>
      </c>
      <c r="D76" s="18" t="s">
        <v>80</v>
      </c>
    </row>
    <row r="77" customFormat="false" ht="15" hidden="false" customHeight="false" outlineLevel="0" collapsed="false">
      <c r="A77" s="8" t="s">
        <v>169</v>
      </c>
      <c r="C77" s="23" t="n">
        <v>-0.078</v>
      </c>
      <c r="D77" s="18" t="s">
        <v>170</v>
      </c>
    </row>
    <row r="79" customFormat="false" ht="15" hidden="false" customHeight="false" outlineLevel="0" collapsed="false">
      <c r="A79" s="20" t="s">
        <v>171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customFormat="false" ht="54" hidden="false" customHeight="true" outlineLevel="0" collapsed="false">
      <c r="A80" s="6" t="s">
        <v>172</v>
      </c>
      <c r="B80" s="6" t="s">
        <v>173</v>
      </c>
      <c r="C80" s="34" t="s">
        <v>174</v>
      </c>
      <c r="D80" s="34" t="s">
        <v>175</v>
      </c>
      <c r="E80" s="34" t="s">
        <v>176</v>
      </c>
      <c r="F80" s="34" t="s">
        <v>177</v>
      </c>
      <c r="G80" s="34" t="s">
        <v>178</v>
      </c>
      <c r="H80" s="34" t="s">
        <v>179</v>
      </c>
      <c r="I80" s="34" t="s">
        <v>180</v>
      </c>
      <c r="J80" s="34" t="s">
        <v>181</v>
      </c>
      <c r="K80" s="34" t="s">
        <v>182</v>
      </c>
      <c r="L80" s="34" t="s">
        <v>183</v>
      </c>
      <c r="M80" s="34" t="s">
        <v>184</v>
      </c>
      <c r="N80" s="34" t="s">
        <v>185</v>
      </c>
    </row>
    <row r="81" customFormat="false" ht="15" hidden="false" customHeight="false" outlineLevel="0" collapsed="false">
      <c r="A81" s="8" t="n">
        <v>1</v>
      </c>
      <c r="B81" s="8" t="s">
        <v>186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35" t="n">
        <v>0</v>
      </c>
      <c r="K81" s="35" t="n">
        <v>1</v>
      </c>
      <c r="L81" s="35" t="n">
        <v>0</v>
      </c>
      <c r="M81" s="23" t="n">
        <v>0</v>
      </c>
      <c r="N81" s="23" t="n">
        <v>0</v>
      </c>
    </row>
    <row r="82" customFormat="false" ht="15" hidden="false" customHeight="false" outlineLevel="0" collapsed="false">
      <c r="A82" s="8" t="n">
        <v>2</v>
      </c>
      <c r="B82" s="8" t="s">
        <v>187</v>
      </c>
      <c r="C82" s="23" t="n">
        <v>0</v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-0.0388</v>
      </c>
      <c r="J82" s="35" t="n">
        <v>0</v>
      </c>
      <c r="K82" s="35" t="n">
        <v>1</v>
      </c>
      <c r="L82" s="35" t="n">
        <v>0</v>
      </c>
      <c r="M82" s="23" t="n">
        <v>0</v>
      </c>
      <c r="N82" s="23" t="n">
        <v>0</v>
      </c>
    </row>
    <row r="83" customFormat="false" ht="15" hidden="false" customHeight="false" outlineLevel="0" collapsed="false">
      <c r="A83" s="8" t="n">
        <v>3</v>
      </c>
      <c r="B83" s="8" t="s">
        <v>188</v>
      </c>
      <c r="C83" s="23" t="n">
        <v>-0.35</v>
      </c>
      <c r="D83" s="23" t="n">
        <v>-0.1</v>
      </c>
      <c r="E83" s="23" t="n">
        <v>0</v>
      </c>
      <c r="F83" s="23" t="n">
        <v>0</v>
      </c>
      <c r="G83" s="23" t="n">
        <v>0</v>
      </c>
      <c r="H83" s="23" t="n">
        <v>-0.01</v>
      </c>
      <c r="I83" s="23" t="n">
        <v>0</v>
      </c>
      <c r="J83" s="35" t="n">
        <v>0</v>
      </c>
      <c r="K83" s="35" t="n">
        <v>1</v>
      </c>
      <c r="L83" s="35" t="n">
        <v>0</v>
      </c>
      <c r="M83" s="23" t="n">
        <v>0</v>
      </c>
      <c r="N83" s="23" t="n">
        <v>0</v>
      </c>
    </row>
    <row r="84" customFormat="false" ht="15" hidden="false" customHeight="false" outlineLevel="0" collapsed="false">
      <c r="A84" s="8" t="n">
        <v>4</v>
      </c>
      <c r="B84" s="8" t="s">
        <v>189</v>
      </c>
      <c r="C84" s="23" t="n">
        <v>0</v>
      </c>
      <c r="D84" s="23" t="n">
        <v>0</v>
      </c>
      <c r="E84" s="23" t="n">
        <v>0.25</v>
      </c>
      <c r="F84" s="23" t="n">
        <v>-0.1</v>
      </c>
      <c r="G84" s="23" t="n">
        <v>0</v>
      </c>
      <c r="H84" s="23" t="n">
        <v>0</v>
      </c>
      <c r="I84" s="23" t="n">
        <v>0</v>
      </c>
      <c r="J84" s="35" t="n">
        <v>0</v>
      </c>
      <c r="K84" s="35" t="n">
        <v>1</v>
      </c>
      <c r="L84" s="35" t="n">
        <v>0</v>
      </c>
      <c r="M84" s="23" t="n">
        <v>0.15</v>
      </c>
      <c r="N84" s="23" t="n">
        <v>0</v>
      </c>
    </row>
    <row r="85" customFormat="false" ht="15" hidden="false" customHeight="false" outlineLevel="0" collapsed="false">
      <c r="A85" s="8" t="n">
        <v>5</v>
      </c>
      <c r="B85" s="8" t="s">
        <v>190</v>
      </c>
      <c r="C85" s="23" t="n">
        <v>0</v>
      </c>
      <c r="D85" s="23" t="n">
        <v>0</v>
      </c>
      <c r="E85" s="23" t="n">
        <v>0</v>
      </c>
      <c r="F85" s="23" t="n">
        <v>0</v>
      </c>
      <c r="G85" s="23" t="n">
        <v>-0.02</v>
      </c>
      <c r="H85" s="23" t="n">
        <v>0</v>
      </c>
      <c r="I85" s="23" t="n">
        <v>0</v>
      </c>
      <c r="J85" s="35" t="n">
        <v>0</v>
      </c>
      <c r="K85" s="35" t="n">
        <v>1</v>
      </c>
      <c r="L85" s="35" t="n">
        <v>0</v>
      </c>
      <c r="M85" s="23" t="n">
        <v>0</v>
      </c>
      <c r="N85" s="23" t="n">
        <v>0</v>
      </c>
    </row>
    <row r="86" customFormat="false" ht="15" hidden="false" customHeight="false" outlineLevel="0" collapsed="false">
      <c r="A86" s="8" t="n">
        <v>6</v>
      </c>
      <c r="B86" s="8" t="s">
        <v>191</v>
      </c>
      <c r="C86" s="23" t="n">
        <v>0</v>
      </c>
      <c r="D86" s="23" t="n"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0</v>
      </c>
      <c r="J86" s="35" t="n">
        <v>-0.8</v>
      </c>
      <c r="K86" s="35" t="n">
        <v>0.5</v>
      </c>
      <c r="L86" s="35" t="n">
        <v>0</v>
      </c>
      <c r="M86" s="23" t="n">
        <v>0</v>
      </c>
      <c r="N86" s="23" t="n">
        <v>0</v>
      </c>
    </row>
    <row r="87" customFormat="false" ht="15" hidden="false" customHeight="false" outlineLevel="0" collapsed="false">
      <c r="A87" s="8" t="n">
        <v>7</v>
      </c>
      <c r="B87" s="8" t="s">
        <v>192</v>
      </c>
      <c r="C87" s="23" t="n">
        <v>-0.25</v>
      </c>
      <c r="D87" s="23" t="n">
        <v>-0.1</v>
      </c>
      <c r="E87" s="23" t="n">
        <v>0</v>
      </c>
      <c r="F87" s="23" t="n">
        <v>-0.05</v>
      </c>
      <c r="G87" s="23" t="n">
        <v>-0.01</v>
      </c>
      <c r="H87" s="23" t="n">
        <v>-0.01</v>
      </c>
      <c r="I87" s="23" t="n">
        <v>0</v>
      </c>
      <c r="J87" s="35" t="n">
        <v>-0.4</v>
      </c>
      <c r="K87" s="35" t="n">
        <v>0.7</v>
      </c>
      <c r="L87" s="35" t="n">
        <v>0</v>
      </c>
      <c r="M87" s="23" t="n">
        <v>0</v>
      </c>
      <c r="N87" s="23" t="n">
        <v>0.03</v>
      </c>
    </row>
    <row r="88" customFormat="false" ht="15" hidden="false" customHeight="false" outlineLevel="0" collapsed="false">
      <c r="A88" s="8" t="n">
        <v>8</v>
      </c>
      <c r="B88" s="8" t="s">
        <v>193</v>
      </c>
      <c r="C88" s="23" t="n">
        <v>0</v>
      </c>
      <c r="D88" s="23" t="n">
        <v>0</v>
      </c>
      <c r="E88" s="23" t="n">
        <v>0</v>
      </c>
      <c r="F88" s="23" t="n">
        <v>0</v>
      </c>
      <c r="G88" s="23" t="n">
        <v>0</v>
      </c>
      <c r="H88" s="23" t="n">
        <v>0</v>
      </c>
      <c r="I88" s="23" t="n">
        <v>0</v>
      </c>
      <c r="J88" s="35" t="n">
        <v>0</v>
      </c>
      <c r="K88" s="35" t="n">
        <v>1</v>
      </c>
      <c r="L88" s="35" t="n">
        <v>1</v>
      </c>
      <c r="M88" s="23" t="n">
        <v>0</v>
      </c>
      <c r="N88" s="23" t="n">
        <v>0</v>
      </c>
    </row>
    <row r="89" customFormat="false" ht="15" hidden="false" customHeight="false" outlineLevel="0" collapsed="false">
      <c r="A89" s="3" t="s">
        <v>194</v>
      </c>
      <c r="B89" s="3" t="s">
        <v>195</v>
      </c>
      <c r="C89" s="36" t="n">
        <f aca="false">INDEX(C$81:C$88,Portada!$C$6)</f>
        <v>0</v>
      </c>
      <c r="D89" s="36" t="n">
        <f aca="false">INDEX(D$81:D$88,Portada!$C$6)</f>
        <v>0</v>
      </c>
      <c r="E89" s="36" t="n">
        <f aca="false">INDEX(E$81:E$88,Portada!$C$6)</f>
        <v>0</v>
      </c>
      <c r="F89" s="36" t="n">
        <f aca="false">INDEX(F$81:F$88,Portada!$C$6)</f>
        <v>0</v>
      </c>
      <c r="G89" s="36" t="n">
        <f aca="false">INDEX(G$81:G$88,Portada!$C$6)</f>
        <v>0</v>
      </c>
      <c r="H89" s="36" t="n">
        <f aca="false">INDEX(H$81:H$88,Portada!$C$6)</f>
        <v>0</v>
      </c>
      <c r="I89" s="36" t="n">
        <f aca="false">INDEX(I$81:I$88,Portada!$C$6)</f>
        <v>0</v>
      </c>
      <c r="J89" s="37" t="n">
        <f aca="false">INDEX(J$81:J$88,Portada!$C$6)</f>
        <v>0</v>
      </c>
      <c r="K89" s="37" t="n">
        <f aca="false">INDEX(K$81:K$88,Portada!$C$6)</f>
        <v>1</v>
      </c>
      <c r="L89" s="37" t="n">
        <f aca="false">INDEX(L$81:L$88,Portada!$C$6)</f>
        <v>0</v>
      </c>
      <c r="M89" s="36" t="n">
        <f aca="false">INDEX(M$81:M$88,Portada!$C$6)</f>
        <v>0</v>
      </c>
      <c r="N89" s="36" t="n">
        <f aca="false">INDEX(N$81:N$88,Portada!$C$6)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13" min="3" style="0" width="10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17" t="s">
        <v>196</v>
      </c>
    </row>
    <row r="2" customFormat="false" ht="15" hidden="false" customHeight="false" outlineLevel="0" collapsed="false">
      <c r="A2" s="2" t="s">
        <v>197</v>
      </c>
    </row>
    <row r="3" customFormat="false" ht="15" hidden="false" customHeight="false" outlineLevel="0" collapsed="false">
      <c r="C3" s="18" t="s">
        <v>36</v>
      </c>
      <c r="D3" s="18" t="s">
        <v>37</v>
      </c>
    </row>
    <row r="4" customFormat="false" ht="15" hidden="false" customHeight="false" outlineLevel="0" collapsed="false">
      <c r="A4" s="6" t="s">
        <v>38</v>
      </c>
      <c r="B4" s="6" t="s">
        <v>39</v>
      </c>
      <c r="C4" s="19" t="s">
        <v>40</v>
      </c>
      <c r="D4" s="19" t="s">
        <v>7</v>
      </c>
      <c r="E4" s="19" t="s">
        <v>8</v>
      </c>
      <c r="F4" s="19" t="s">
        <v>41</v>
      </c>
      <c r="G4" s="19" t="s">
        <v>9</v>
      </c>
      <c r="H4" s="19" t="s">
        <v>42</v>
      </c>
      <c r="I4" s="19" t="s">
        <v>10</v>
      </c>
      <c r="J4" s="19" t="s">
        <v>43</v>
      </c>
      <c r="K4" s="19" t="s">
        <v>44</v>
      </c>
      <c r="L4" s="19" t="s">
        <v>45</v>
      </c>
      <c r="M4" s="19" t="s">
        <v>11</v>
      </c>
      <c r="N4" s="6" t="s">
        <v>46</v>
      </c>
    </row>
    <row r="5" customFormat="false" ht="15" hidden="false" customHeight="false" outlineLevel="0" collapsed="false">
      <c r="A5" s="20" t="s">
        <v>198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customFormat="false" ht="15" hidden="false" customHeight="false" outlineLevel="0" collapsed="false">
      <c r="A6" s="8" t="s">
        <v>199</v>
      </c>
      <c r="B6" s="2" t="s">
        <v>62</v>
      </c>
      <c r="C6" s="38" t="n">
        <f aca="false">Supuestos!C12</f>
        <v>100</v>
      </c>
      <c r="D6" s="38" t="n">
        <f aca="false">Supuestos!D12</f>
        <v>175</v>
      </c>
      <c r="E6" s="39" t="n">
        <f aca="false">Supuestos!E12*(1+Supuestos!$C$89)</f>
        <v>161</v>
      </c>
      <c r="F6" s="39" t="n">
        <f aca="false">Supuestos!F12*(1+Supuestos!$C$89)</f>
        <v>153</v>
      </c>
      <c r="G6" s="39" t="n">
        <f aca="false">Supuestos!G12*(1+Supuestos!$C$89)</f>
        <v>153</v>
      </c>
      <c r="H6" s="39" t="n">
        <f aca="false">Supuestos!H12*(1+Supuestos!$C$89)</f>
        <v>153</v>
      </c>
      <c r="I6" s="39" t="n">
        <f aca="false">Supuestos!I12*(1+Supuestos!$C$89)</f>
        <v>153</v>
      </c>
      <c r="J6" s="39" t="n">
        <f aca="false">Supuestos!J12*(1+Supuestos!$C$89)</f>
        <v>153</v>
      </c>
      <c r="K6" s="39" t="n">
        <f aca="false">Supuestos!K12*(1+Supuestos!$C$89)</f>
        <v>153</v>
      </c>
      <c r="L6" s="39" t="n">
        <f aca="false">Supuestos!L12*(1+Supuestos!$C$89)</f>
        <v>153</v>
      </c>
      <c r="M6" s="39" t="n">
        <f aca="false">Supuestos!M12*(1+Supuestos!$C$89)</f>
        <v>153</v>
      </c>
    </row>
    <row r="7" customFormat="false" ht="15" hidden="false" customHeight="false" outlineLevel="0" collapsed="false">
      <c r="A7" s="8" t="s">
        <v>200</v>
      </c>
      <c r="B7" s="2" t="s">
        <v>62</v>
      </c>
      <c r="C7" s="38" t="n">
        <f aca="false">Supuestos!C13</f>
        <v>100</v>
      </c>
      <c r="D7" s="38" t="n">
        <f aca="false">Supuestos!D13</f>
        <v>115</v>
      </c>
      <c r="E7" s="39" t="n">
        <f aca="false">Supuestos!E13*(1+Supuestos!$D$89)</f>
        <v>115</v>
      </c>
      <c r="F7" s="39" t="n">
        <f aca="false">Supuestos!F13*(1+Supuestos!$D$89)</f>
        <v>115</v>
      </c>
      <c r="G7" s="39" t="n">
        <f aca="false">Supuestos!G13*(1+Supuestos!$D$89)</f>
        <v>115</v>
      </c>
      <c r="H7" s="39" t="n">
        <f aca="false">Supuestos!H13*(1+Supuestos!$D$89)</f>
        <v>115</v>
      </c>
      <c r="I7" s="39" t="n">
        <f aca="false">Supuestos!I13*(1+Supuestos!$D$89)</f>
        <v>115</v>
      </c>
      <c r="J7" s="39" t="n">
        <f aca="false">Supuestos!J13*(1+Supuestos!$D$89)</f>
        <v>115</v>
      </c>
      <c r="K7" s="39" t="n">
        <f aca="false">Supuestos!K13*(1+Supuestos!$D$89)</f>
        <v>115</v>
      </c>
      <c r="L7" s="39" t="n">
        <f aca="false">Supuestos!L13*(1+Supuestos!$D$89)</f>
        <v>115</v>
      </c>
      <c r="M7" s="39" t="n">
        <f aca="false">Supuestos!M13*(1+Supuestos!$D$89)</f>
        <v>115</v>
      </c>
    </row>
    <row r="8" customFormat="false" ht="15" hidden="false" customHeight="false" outlineLevel="0" collapsed="false">
      <c r="A8" s="8" t="s">
        <v>201</v>
      </c>
      <c r="B8" s="2" t="s">
        <v>62</v>
      </c>
      <c r="C8" s="38" t="n">
        <f aca="false">Supuestos!C14</f>
        <v>100</v>
      </c>
      <c r="D8" s="38" t="n">
        <f aca="false">Supuestos!D14</f>
        <v>112</v>
      </c>
      <c r="E8" s="39" t="n">
        <f aca="false">Supuestos!E14*(1+Supuestos!$E$89)</f>
        <v>100</v>
      </c>
      <c r="F8" s="39" t="n">
        <f aca="false">Supuestos!F14*(1+Supuestos!$E$89)</f>
        <v>97</v>
      </c>
      <c r="G8" s="39" t="n">
        <f aca="false">Supuestos!G14*(1+Supuestos!$E$89)</f>
        <v>97</v>
      </c>
      <c r="H8" s="39" t="n">
        <f aca="false">Supuestos!H14*(1+Supuestos!$E$89)</f>
        <v>97</v>
      </c>
      <c r="I8" s="39" t="n">
        <f aca="false">Supuestos!I14*(1+Supuestos!$E$89)</f>
        <v>97</v>
      </c>
      <c r="J8" s="39" t="n">
        <f aca="false">Supuestos!J14*(1+Supuestos!$E$89)</f>
        <v>97</v>
      </c>
      <c r="K8" s="39" t="n">
        <f aca="false">Supuestos!K14*(1+Supuestos!$E$89)</f>
        <v>97</v>
      </c>
      <c r="L8" s="39" t="n">
        <f aca="false">Supuestos!L14*(1+Supuestos!$E$89)</f>
        <v>97</v>
      </c>
      <c r="M8" s="39" t="n">
        <f aca="false">Supuestos!M14*(1+Supuestos!$E$89)</f>
        <v>97</v>
      </c>
    </row>
    <row r="9" customFormat="false" ht="15" hidden="false" customHeight="false" outlineLevel="0" collapsed="false">
      <c r="A9" s="8" t="s">
        <v>202</v>
      </c>
      <c r="B9" s="2" t="s">
        <v>62</v>
      </c>
      <c r="C9" s="38" t="n">
        <f aca="false">Supuestos!C15</f>
        <v>100</v>
      </c>
      <c r="D9" s="38" t="n">
        <f aca="false">Supuestos!D15</f>
        <v>140</v>
      </c>
      <c r="E9" s="39" t="n">
        <f aca="false">Supuestos!E15*(1+Supuestos!$C$89)</f>
        <v>129</v>
      </c>
      <c r="F9" s="39" t="n">
        <f aca="false">Supuestos!F15*(1+Supuestos!$C$89)</f>
        <v>122</v>
      </c>
      <c r="G9" s="39" t="n">
        <f aca="false">Supuestos!G15*(1+Supuestos!$C$89)</f>
        <v>122</v>
      </c>
      <c r="H9" s="39" t="n">
        <f aca="false">Supuestos!H15*(1+Supuestos!$C$89)</f>
        <v>122</v>
      </c>
      <c r="I9" s="39" t="n">
        <f aca="false">Supuestos!I15*(1+Supuestos!$C$89)</f>
        <v>122</v>
      </c>
      <c r="J9" s="39" t="n">
        <f aca="false">Supuestos!J15*(1+Supuestos!$C$89)</f>
        <v>122</v>
      </c>
      <c r="K9" s="39" t="n">
        <f aca="false">Supuestos!K15*(1+Supuestos!$C$89)</f>
        <v>122</v>
      </c>
      <c r="L9" s="39" t="n">
        <f aca="false">Supuestos!L15*(1+Supuestos!$C$89)</f>
        <v>122</v>
      </c>
      <c r="M9" s="39" t="n">
        <f aca="false">Supuestos!M15*(1+Supuestos!$C$89)</f>
        <v>122</v>
      </c>
    </row>
    <row r="10" customFormat="false" ht="15" hidden="false" customHeight="false" outlineLevel="0" collapsed="false">
      <c r="A10" s="8" t="s">
        <v>203</v>
      </c>
      <c r="B10" s="2" t="s">
        <v>49</v>
      </c>
      <c r="D10" s="40" t="n">
        <f aca="false">Supuestos!D9</f>
        <v>0</v>
      </c>
      <c r="E10" s="41" t="n">
        <f aca="false">Supuestos!E9+Supuestos!$I$89</f>
        <v>-0.03</v>
      </c>
      <c r="F10" s="41" t="n">
        <f aca="false">Supuestos!F9+Supuestos!$I$89</f>
        <v>-0.02</v>
      </c>
      <c r="G10" s="41" t="n">
        <f aca="false">Supuestos!G9+Supuestos!$I$89</f>
        <v>-0.01</v>
      </c>
      <c r="H10" s="9" t="n">
        <f aca="false">Supuestos!H9</f>
        <v>0</v>
      </c>
      <c r="I10" s="9" t="n">
        <f aca="false">Supuestos!I9</f>
        <v>0</v>
      </c>
      <c r="J10" s="9" t="n">
        <f aca="false">Supuestos!J9</f>
        <v>0</v>
      </c>
      <c r="K10" s="9" t="n">
        <f aca="false">Supuestos!K9</f>
        <v>0</v>
      </c>
      <c r="L10" s="9" t="n">
        <f aca="false">Supuestos!L9</f>
        <v>0</v>
      </c>
      <c r="M10" s="9" t="n">
        <f aca="false">Supuestos!M9</f>
        <v>0</v>
      </c>
    </row>
    <row r="11" customFormat="false" ht="15" hidden="false" customHeight="false" outlineLevel="0" collapsed="false">
      <c r="A11" s="8" t="s">
        <v>204</v>
      </c>
      <c r="B11" s="2" t="s">
        <v>49</v>
      </c>
      <c r="D11" s="42" t="n">
        <f aca="false">D10+(1-Supuestos!$C$57)*C45</f>
        <v>0</v>
      </c>
      <c r="E11" s="41" t="n">
        <f aca="false">E10+(1-Supuestos!$C$57)*D45</f>
        <v>-0.03</v>
      </c>
      <c r="F11" s="41" t="n">
        <f aca="false">F10+(1-Supuestos!$C$57)*E45</f>
        <v>-0.02</v>
      </c>
      <c r="G11" s="41" t="n">
        <f aca="false">G10+(1-Supuestos!$C$57)*F45</f>
        <v>-0.01</v>
      </c>
      <c r="H11" s="41" t="n">
        <f aca="false">H10+(1-Supuestos!$C$57)*G45</f>
        <v>0</v>
      </c>
      <c r="I11" s="41" t="n">
        <f aca="false">I10+(1-Supuestos!$C$57)*H45</f>
        <v>0</v>
      </c>
      <c r="J11" s="41" t="n">
        <f aca="false">J10+(1-Supuestos!$C$57)*I45</f>
        <v>0</v>
      </c>
      <c r="K11" s="41" t="n">
        <f aca="false">K10+(1-Supuestos!$C$57)*J45</f>
        <v>0</v>
      </c>
      <c r="L11" s="41" t="n">
        <f aca="false">L10+(1-Supuestos!$C$57)*K45</f>
        <v>0.0207427882929591</v>
      </c>
      <c r="M11" s="41" t="n">
        <f aca="false">M10+(1-Supuestos!$C$57)*L45</f>
        <v>0.0772936552818972</v>
      </c>
    </row>
    <row r="12" customFormat="false" ht="15" hidden="false" customHeight="false" outlineLevel="0" collapsed="false">
      <c r="A12" s="8" t="s">
        <v>205</v>
      </c>
      <c r="B12" s="2" t="s">
        <v>49</v>
      </c>
      <c r="C12" s="40" t="n">
        <f aca="false">Supuestos!C6</f>
        <v>-0.016</v>
      </c>
      <c r="D12" s="40" t="n">
        <f aca="false">Supuestos!D6</f>
        <v>-0.03</v>
      </c>
      <c r="E12" s="41" t="n">
        <f aca="false">Supuestos!E6+Supuestos!$H$89</f>
        <v>-0.015</v>
      </c>
      <c r="F12" s="41" t="n">
        <f aca="false">Supuestos!F6+Supuestos!$H$89</f>
        <v>0.005</v>
      </c>
      <c r="G12" s="9" t="n">
        <f aca="false">Supuestos!G6</f>
        <v>0.02</v>
      </c>
      <c r="H12" s="9" t="n">
        <f aca="false">Supuestos!H6</f>
        <v>0.025</v>
      </c>
      <c r="I12" s="9" t="n">
        <f aca="false">Supuestos!I6</f>
        <v>0.028</v>
      </c>
      <c r="J12" s="9" t="n">
        <f aca="false">Supuestos!J6</f>
        <v>0.028</v>
      </c>
      <c r="K12" s="9" t="n">
        <f aca="false">Supuestos!K6</f>
        <v>0.028</v>
      </c>
      <c r="L12" s="9" t="n">
        <f aca="false">Supuestos!L6</f>
        <v>0.028</v>
      </c>
      <c r="M12" s="9" t="n">
        <f aca="false">Supuestos!M6</f>
        <v>0.028</v>
      </c>
    </row>
    <row r="13" customFormat="false" ht="15" hidden="false" customHeight="false" outlineLevel="0" collapsed="false">
      <c r="A13" s="20" t="s">
        <v>206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customFormat="false" ht="15" hidden="false" customHeight="false" outlineLevel="0" collapsed="false">
      <c r="A14" s="8" t="s">
        <v>79</v>
      </c>
      <c r="B14" s="2" t="s">
        <v>80</v>
      </c>
      <c r="C14" s="43" t="n">
        <f aca="false">Supuestos!C24</f>
        <v>2.8</v>
      </c>
      <c r="D14" s="43" t="n">
        <f aca="false">Supuestos!D24</f>
        <v>6.6</v>
      </c>
      <c r="E14" s="44" t="n">
        <f aca="false">D14*E6/D6*(1+Supuestos!E18)</f>
        <v>6.19344</v>
      </c>
      <c r="F14" s="44" t="n">
        <f aca="false">E14*F6/E6*(1+Supuestos!F18)</f>
        <v>6.00340525714286</v>
      </c>
      <c r="G14" s="44" t="n">
        <f aca="false">F14*G6/F6*(1+Supuestos!G18)</f>
        <v>6.12347336228571</v>
      </c>
      <c r="H14" s="44" t="n">
        <f aca="false">G14*H6/G6*(1+Supuestos!H18)</f>
        <v>6.24594282953143</v>
      </c>
      <c r="I14" s="44" t="n">
        <f aca="false">H14*I6/H6*(1+Supuestos!I18)</f>
        <v>6.37086168612206</v>
      </c>
      <c r="J14" s="44" t="n">
        <f aca="false">I14*J6/I6*(1+Supuestos!J18)</f>
        <v>6.4982789198445</v>
      </c>
      <c r="K14" s="44" t="n">
        <f aca="false">J14*K6/J6*(1+Supuestos!K18)</f>
        <v>6.62824449824139</v>
      </c>
      <c r="L14" s="44" t="n">
        <f aca="false">K14*L6/K6*(1+Supuestos!L18)</f>
        <v>6.76080938820622</v>
      </c>
      <c r="M14" s="44" t="n">
        <f aca="false">L14*M6/L6*(1+Supuestos!M18)</f>
        <v>6.89602557597034</v>
      </c>
    </row>
    <row r="15" customFormat="false" ht="15" hidden="false" customHeight="false" outlineLevel="0" collapsed="false">
      <c r="A15" s="8" t="s">
        <v>82</v>
      </c>
      <c r="B15" s="2" t="s">
        <v>80</v>
      </c>
      <c r="C15" s="43" t="n">
        <f aca="false">Supuestos!C25</f>
        <v>2.2</v>
      </c>
      <c r="D15" s="43" t="n">
        <f aca="false">Supuestos!D25</f>
        <v>2.7</v>
      </c>
      <c r="E15" s="44" t="n">
        <f aca="false">D15*E7/D7*(1+Supuestos!E19)</f>
        <v>2.727</v>
      </c>
      <c r="F15" s="44" t="n">
        <f aca="false">E15*F7/E7*(1+Supuestos!F19)</f>
        <v>2.75427</v>
      </c>
      <c r="G15" s="44" t="n">
        <f aca="false">F15*G7/F7*(1+Supuestos!G19)</f>
        <v>2.7818127</v>
      </c>
      <c r="H15" s="44" t="n">
        <f aca="false">G15*H7/G7*(1+Supuestos!H19)</f>
        <v>2.809630827</v>
      </c>
      <c r="I15" s="44" t="n">
        <f aca="false">H15*I7/H7*(1+Supuestos!I19)</f>
        <v>2.83772713527</v>
      </c>
      <c r="J15" s="44" t="n">
        <f aca="false">I15*J7/I7*(1+Supuestos!J19)</f>
        <v>2.8661044066227</v>
      </c>
      <c r="K15" s="44" t="n">
        <f aca="false">J15*K7/J7*(1+Supuestos!K19)</f>
        <v>2.89476545068893</v>
      </c>
      <c r="L15" s="44" t="n">
        <f aca="false">K15*L7/K7*(1+Supuestos!L19)</f>
        <v>2.92371310519582</v>
      </c>
      <c r="M15" s="44" t="n">
        <f aca="false">L15*M7/L7*(1+Supuestos!M19)</f>
        <v>2.95295023624778</v>
      </c>
    </row>
    <row r="16" customFormat="false" ht="15" hidden="false" customHeight="false" outlineLevel="0" collapsed="false">
      <c r="A16" s="8" t="s">
        <v>84</v>
      </c>
      <c r="B16" s="2" t="s">
        <v>80</v>
      </c>
      <c r="C16" s="43" t="n">
        <f aca="false">Supuestos!C26</f>
        <v>1.6</v>
      </c>
      <c r="D16" s="43" t="n">
        <f aca="false">Supuestos!D26</f>
        <v>1</v>
      </c>
      <c r="E16" s="44" t="n">
        <f aca="false">D16*D8/C8*(1+Supuestos!E20+Supuestos!$F$89)</f>
        <v>0.9856</v>
      </c>
      <c r="F16" s="44" t="n">
        <f aca="false">E16*E8/D8*(1+Supuestos!F20+Supuestos!$F$89)</f>
        <v>0.7744</v>
      </c>
      <c r="G16" s="44" t="n">
        <f aca="false">F16*F8/E8*(1+Supuestos!G20+Supuestos!$F$89)</f>
        <v>0.66102784</v>
      </c>
      <c r="H16" s="44" t="n">
        <f aca="false">G16*G8/F8*(1+Supuestos!H20+Supuestos!$F$89)</f>
        <v>0.5817044992</v>
      </c>
      <c r="I16" s="44" t="n">
        <f aca="false">H16*H8/G8*(1+Supuestos!I20+Supuestos!$F$89)</f>
        <v>0.546802229248</v>
      </c>
      <c r="J16" s="44" t="n">
        <f aca="false">I16*I8/H8*(1+Supuestos!J20+Supuestos!$F$89)</f>
        <v>0.51399409549312</v>
      </c>
      <c r="K16" s="44" t="n">
        <f aca="false">J16*J8/I8*(1+Supuestos!K20+Supuestos!$F$89)</f>
        <v>0.483154449763533</v>
      </c>
      <c r="L16" s="44" t="n">
        <f aca="false">K16*K8/J8*(1+Supuestos!L20+Supuestos!$F$89)</f>
        <v>0.454165182777721</v>
      </c>
      <c r="M16" s="44" t="n">
        <f aca="false">L16*L8/K8*(1+Supuestos!M20+Supuestos!$F$89)</f>
        <v>0.426915271811058</v>
      </c>
    </row>
    <row r="17" customFormat="false" ht="15" hidden="false" customHeight="false" outlineLevel="0" collapsed="false">
      <c r="A17" s="8" t="s">
        <v>207</v>
      </c>
      <c r="B17" s="2" t="s">
        <v>80</v>
      </c>
      <c r="C17" s="43" t="n">
        <f aca="false">Supuestos!C27</f>
        <v>1.9</v>
      </c>
      <c r="D17" s="43" t="n">
        <f aca="false">Supuestos!D27</f>
        <v>2.2</v>
      </c>
      <c r="E17" s="44" t="n">
        <f aca="false">D17*(1+Supuestos!E16)*(1+Supuestos!E21)</f>
        <v>2.266</v>
      </c>
      <c r="F17" s="44" t="n">
        <f aca="false">E17*(1+Supuestos!F16)*(1+Supuestos!F21)</f>
        <v>2.33398</v>
      </c>
      <c r="G17" s="44" t="n">
        <f aca="false">F17*(1+Supuestos!G16)*(1+Supuestos!G21)</f>
        <v>2.4039994</v>
      </c>
      <c r="H17" s="44" t="n">
        <f aca="false">G17*(1+Supuestos!H16)*(1+Supuestos!H21)</f>
        <v>2.476119382</v>
      </c>
      <c r="I17" s="44" t="n">
        <f aca="false">H17*(1+Supuestos!I16)*(1+Supuestos!I21)</f>
        <v>2.55040296346</v>
      </c>
      <c r="J17" s="44" t="n">
        <f aca="false">I17*(1+Supuestos!J16)*(1+Supuestos!J21)</f>
        <v>2.6269150523638</v>
      </c>
      <c r="K17" s="44" t="n">
        <f aca="false">J17*(1+Supuestos!K16)*(1+Supuestos!K21)</f>
        <v>2.70572250393472</v>
      </c>
      <c r="L17" s="44" t="n">
        <f aca="false">K17*(1+Supuestos!L16)*(1+Supuestos!L21)</f>
        <v>2.78689417905276</v>
      </c>
      <c r="M17" s="44" t="n">
        <f aca="false">L17*(1+Supuestos!M16)*(1+Supuestos!M21)</f>
        <v>2.87050100442434</v>
      </c>
    </row>
    <row r="18" customFormat="false" ht="15" hidden="false" customHeight="false" outlineLevel="0" collapsed="false">
      <c r="A18" s="8" t="s">
        <v>208</v>
      </c>
      <c r="B18" s="2" t="s">
        <v>80</v>
      </c>
      <c r="C18" s="43" t="n">
        <f aca="false">Supuestos!C28</f>
        <v>1</v>
      </c>
      <c r="D18" s="43" t="n">
        <f aca="false">Supuestos!D28</f>
        <v>1.1</v>
      </c>
      <c r="E18" s="44" t="n">
        <f aca="false">D18*(1+Supuestos!$C$63)*(1+Supuestos!$C$52*E11)</f>
        <v>1.1322575</v>
      </c>
      <c r="F18" s="44" t="n">
        <f aca="false">E18*(1+Supuestos!$C$63)*(1+Supuestos!$C$52*F11)</f>
        <v>1.171376996625</v>
      </c>
      <c r="G18" s="44" t="n">
        <f aca="false">F18*(1+Supuestos!$C$63)*(1+Supuestos!$C$52*G11)</f>
        <v>1.21796851666576</v>
      </c>
      <c r="H18" s="44" t="n">
        <f aca="false">G18*(1+Supuestos!$C$63)*(1+Supuestos!$C$52*H11)</f>
        <v>1.27277709991572</v>
      </c>
      <c r="I18" s="44" t="n">
        <f aca="false">H18*(1+Supuestos!$C$63)*(1+Supuestos!$C$52*I11)</f>
        <v>1.33005206941193</v>
      </c>
      <c r="J18" s="44" t="n">
        <f aca="false">I18*(1+Supuestos!$C$63)*(1+Supuestos!$C$52*J11)</f>
        <v>1.38990441253546</v>
      </c>
      <c r="K18" s="44" t="n">
        <f aca="false">J18*(1+Supuestos!$C$63)*(1+Supuestos!$C$52*K11)</f>
        <v>1.45245011109956</v>
      </c>
      <c r="L18" s="44" t="n">
        <f aca="false">K18*(1+Supuestos!$C$63)*(1+Supuestos!$C$52*L11)</f>
        <v>1.53355217564546</v>
      </c>
      <c r="M18" s="44" t="n">
        <f aca="false">L18*(1+Supuestos!$C$63)*(1+Supuestos!$C$52*M11)</f>
        <v>1.66449596185756</v>
      </c>
    </row>
    <row r="19" customFormat="false" ht="15" hidden="false" customHeight="false" outlineLevel="0" collapsed="false">
      <c r="A19" s="3" t="s">
        <v>209</v>
      </c>
      <c r="B19" s="2" t="s">
        <v>80</v>
      </c>
      <c r="C19" s="45" t="n">
        <f aca="false">SUM(C14:C18)</f>
        <v>9.5</v>
      </c>
      <c r="D19" s="45" t="n">
        <f aca="false">SUM(D14:D18)</f>
        <v>13.6</v>
      </c>
      <c r="E19" s="46" t="n">
        <f aca="false">SUM(E14:E18)</f>
        <v>13.3042975</v>
      </c>
      <c r="F19" s="46" t="n">
        <f aca="false">SUM(F14:F18)</f>
        <v>13.0374322537679</v>
      </c>
      <c r="G19" s="46" t="n">
        <f aca="false">SUM(G14:G18)</f>
        <v>13.1882818189515</v>
      </c>
      <c r="H19" s="46" t="n">
        <f aca="false">SUM(H14:H18)</f>
        <v>13.3861746376471</v>
      </c>
      <c r="I19" s="46" t="n">
        <f aca="false">SUM(I14:I18)</f>
        <v>13.635846083512</v>
      </c>
      <c r="J19" s="46" t="n">
        <f aca="false">SUM(J14:J18)</f>
        <v>13.8951968868596</v>
      </c>
      <c r="K19" s="46" t="n">
        <f aca="false">SUM(K14:K18)</f>
        <v>14.1643370137281</v>
      </c>
      <c r="L19" s="46" t="n">
        <f aca="false">SUM(L14:L18)</f>
        <v>14.459134030878</v>
      </c>
      <c r="M19" s="46" t="n">
        <f aca="false">SUM(M14:M18)</f>
        <v>14.8108880503111</v>
      </c>
    </row>
    <row r="20" customFormat="false" ht="15" hidden="false" customHeight="false" outlineLevel="0" collapsed="false">
      <c r="A20" s="8" t="s">
        <v>88</v>
      </c>
      <c r="B20" s="2" t="s">
        <v>80</v>
      </c>
      <c r="C20" s="43" t="n">
        <f aca="false">Supuestos!C29</f>
        <v>2.8</v>
      </c>
      <c r="D20" s="43" t="n">
        <f aca="false">Supuestos!D29</f>
        <v>2.8</v>
      </c>
      <c r="E20" s="44" t="n">
        <f aca="false">D20*E8/D8*(1+Supuestos!E22)</f>
        <v>2.4</v>
      </c>
      <c r="F20" s="44" t="n">
        <f aca="false">E20*F8/E8*(1+Supuestos!F22)</f>
        <v>2.37456</v>
      </c>
      <c r="G20" s="44" t="n">
        <f aca="false">F20*G8/F8*(1+Supuestos!G22)</f>
        <v>2.4220512</v>
      </c>
      <c r="H20" s="44" t="n">
        <f aca="false">G20*H8/G8*(1+Supuestos!H22)</f>
        <v>2.470492224</v>
      </c>
      <c r="I20" s="44" t="n">
        <f aca="false">H20*I8/H8*(1+Supuestos!I22)</f>
        <v>2.51990206848</v>
      </c>
      <c r="J20" s="44" t="n">
        <f aca="false">I20*J8/I8*(1+Supuestos!J22)</f>
        <v>2.5703001098496</v>
      </c>
      <c r="K20" s="44" t="n">
        <f aca="false">J20*K8/J8*(1+Supuestos!K22)</f>
        <v>2.62170611204659</v>
      </c>
      <c r="L20" s="44" t="n">
        <f aca="false">K20*L8/K8*(1+Supuestos!L22)</f>
        <v>2.67414023428752</v>
      </c>
      <c r="M20" s="44" t="n">
        <f aca="false">L20*M8/L8*(1+Supuestos!M22)</f>
        <v>2.72762303897327</v>
      </c>
    </row>
    <row r="21" customFormat="false" ht="15" hidden="false" customHeight="false" outlineLevel="0" collapsed="false">
      <c r="A21" s="8" t="s">
        <v>210</v>
      </c>
      <c r="B21" s="2" t="s">
        <v>80</v>
      </c>
      <c r="C21" s="43" t="n">
        <f aca="false">Supuestos!C30</f>
        <v>6.37</v>
      </c>
      <c r="D21" s="43" t="n">
        <f aca="false">Supuestos!D30</f>
        <v>8.8</v>
      </c>
      <c r="E21" s="44" t="n">
        <f aca="false">D22*(1+Supuestos!$C$62)*(1+Supuestos!$C$54*E12)*(1-Supuestos!$C$53*E11)-Supuestos!$C$61*Supuestos!$G$89*Fiscal_Deuda!D11</f>
        <v>9.025978368</v>
      </c>
      <c r="F21" s="44" t="n">
        <f aca="false">E22*(1+Supuestos!$C$62)*(1+Supuestos!$C$54*F12)*(1-Supuestos!$C$53*F11)-Supuestos!$C$61*Supuestos!$G$89*Fiscal_Deuda!E11</f>
        <v>9.40992471373972</v>
      </c>
      <c r="G21" s="44" t="n">
        <f aca="false">F22*(1+Supuestos!$C$62)*(1+Supuestos!$C$54*G12)*(1-Supuestos!$C$53*G11)-Supuestos!$C$61*Supuestos!$G$89*Fiscal_Deuda!F11</f>
        <v>9.90710599032691</v>
      </c>
      <c r="H21" s="44" t="n">
        <f aca="false">G22*(1+Supuestos!$C$62)*(1+Supuestos!$C$54*H12)*(1-Supuestos!$C$53*H11)-Supuestos!$C$61*Supuestos!$G$89*Fiscal_Deuda!G11</f>
        <v>10.4084055534375</v>
      </c>
      <c r="I21" s="44" t="n">
        <f aca="false">H22*(1+Supuestos!$C$62)*(1+Supuestos!$C$54*I12)*(1-Supuestos!$C$53*I11)-Supuestos!$C$61*Supuestos!$G$89*Fiscal_Deuda!H11</f>
        <v>10.9732905396336</v>
      </c>
      <c r="J21" s="44" t="n">
        <f aca="false">I22*(1+Supuestos!$C$62)*(1+Supuestos!$C$54*J12)*(1-Supuestos!$C$53*J11)-Supuestos!$C$61*Supuestos!$G$89*Fiscal_Deuda!I11</f>
        <v>11.5688329638006</v>
      </c>
      <c r="K21" s="44" t="n">
        <f aca="false">J22*(1+Supuestos!$C$62)*(1+Supuestos!$C$54*K12)*(1-Supuestos!$C$53*K11)-Supuestos!$C$61*Supuestos!$G$89*Fiscal_Deuda!J11</f>
        <v>12.196696666412</v>
      </c>
      <c r="L21" s="44" t="n">
        <f aca="false">K22*(1+Supuestos!$C$62)*(1+Supuestos!$C$54*L12)*(1-Supuestos!$C$53*L11)-Supuestos!$C$61*Supuestos!$G$89*Fiscal_Deuda!K11</f>
        <v>12.3829587390054</v>
      </c>
      <c r="M21" s="44" t="n">
        <f aca="false">L22*(1+Supuestos!$C$62)*(1+Supuestos!$C$54*M12)*(1-Supuestos!$C$53*M11)-Supuestos!$C$61*Supuestos!$G$89*Fiscal_Deuda!L11</f>
        <v>11.301077858076</v>
      </c>
    </row>
    <row r="22" customFormat="false" ht="15" hidden="false" customHeight="false" outlineLevel="0" collapsed="false">
      <c r="A22" s="8" t="s">
        <v>211</v>
      </c>
      <c r="B22" s="2" t="s">
        <v>80</v>
      </c>
      <c r="C22" s="47" t="n">
        <f aca="false">C21</f>
        <v>6.37</v>
      </c>
      <c r="D22" s="47" t="n">
        <f aca="false">D21-D44</f>
        <v>8.8</v>
      </c>
      <c r="E22" s="44" t="n">
        <f aca="false">E21-E44</f>
        <v>9.025978368</v>
      </c>
      <c r="F22" s="44" t="n">
        <f aca="false">F21-F44</f>
        <v>9.40992471373972</v>
      </c>
      <c r="G22" s="44" t="n">
        <f aca="false">G21-G44</f>
        <v>9.90710599032691</v>
      </c>
      <c r="H22" s="44" t="n">
        <f aca="false">H21-H44</f>
        <v>10.4084055534375</v>
      </c>
      <c r="I22" s="44" t="n">
        <f aca="false">I21-I44</f>
        <v>10.9732905396336</v>
      </c>
      <c r="J22" s="44" t="n">
        <f aca="false">J21-J44</f>
        <v>11.5688329638006</v>
      </c>
      <c r="K22" s="44" t="n">
        <f aca="false">K21-K44</f>
        <v>11.9437031695872</v>
      </c>
      <c r="L22" s="44" t="n">
        <f aca="false">L21-L44</f>
        <v>11.4258345948628</v>
      </c>
      <c r="M22" s="44" t="n">
        <f aca="false">M21-M44</f>
        <v>10.8780879105378</v>
      </c>
    </row>
    <row r="23" customFormat="false" ht="15" hidden="false" customHeight="false" outlineLevel="0" collapsed="false">
      <c r="A23" s="8" t="s">
        <v>212</v>
      </c>
      <c r="B23" s="2" t="s">
        <v>80</v>
      </c>
      <c r="C23" s="47" t="n">
        <f aca="false">C20+C22</f>
        <v>9.17</v>
      </c>
      <c r="D23" s="47" t="n">
        <f aca="false">D20+D22</f>
        <v>11.6</v>
      </c>
      <c r="E23" s="44" t="n">
        <f aca="false">E20+E22</f>
        <v>11.425978368</v>
      </c>
      <c r="F23" s="44" t="n">
        <f aca="false">F20+F22</f>
        <v>11.7844847137397</v>
      </c>
      <c r="G23" s="44" t="n">
        <f aca="false">G20+G22</f>
        <v>12.3291571903269</v>
      </c>
      <c r="H23" s="44" t="n">
        <f aca="false">H20+H22</f>
        <v>12.8788977774375</v>
      </c>
      <c r="I23" s="44" t="n">
        <f aca="false">I20+I22</f>
        <v>13.4931926081136</v>
      </c>
      <c r="J23" s="44" t="n">
        <f aca="false">J20+J22</f>
        <v>14.1391330736502</v>
      </c>
      <c r="K23" s="44" t="n">
        <f aca="false">K20+K22</f>
        <v>14.5654092816338</v>
      </c>
      <c r="L23" s="44" t="n">
        <f aca="false">L20+L22</f>
        <v>14.0999748291503</v>
      </c>
      <c r="M23" s="44" t="n">
        <f aca="false">M20+M22</f>
        <v>13.6057109495111</v>
      </c>
    </row>
    <row r="24" customFormat="false" ht="15" hidden="false" customHeight="false" outlineLevel="0" collapsed="false">
      <c r="A24" s="8" t="s">
        <v>92</v>
      </c>
      <c r="B24" s="2" t="s">
        <v>80</v>
      </c>
      <c r="C24" s="43" t="n">
        <f aca="false">Supuestos!C31</f>
        <v>-1.5</v>
      </c>
      <c r="D24" s="43" t="n">
        <f aca="false">Supuestos!D31</f>
        <v>-1.4</v>
      </c>
      <c r="E24" s="44" t="n">
        <f aca="false">D24*(1+Supuestos!$C$62)</f>
        <v>-1.428</v>
      </c>
      <c r="F24" s="44" t="n">
        <f aca="false">E24*(1+Supuestos!$C$62)</f>
        <v>-1.45656</v>
      </c>
      <c r="G24" s="44" t="n">
        <f aca="false">F24*(1+Supuestos!$C$62)</f>
        <v>-1.4856912</v>
      </c>
      <c r="H24" s="44" t="n">
        <f aca="false">G24*(1+Supuestos!$C$62)</f>
        <v>-1.515405024</v>
      </c>
      <c r="I24" s="44" t="n">
        <f aca="false">H24*(1+Supuestos!$C$62)</f>
        <v>-1.54571312448</v>
      </c>
      <c r="J24" s="44" t="n">
        <f aca="false">I24*(1+Supuestos!$C$62)</f>
        <v>-1.5766273869696</v>
      </c>
      <c r="K24" s="44" t="n">
        <f aca="false">J24*(1+Supuestos!$C$62)</f>
        <v>-1.60815993470899</v>
      </c>
      <c r="L24" s="44" t="n">
        <f aca="false">K24*(1+Supuestos!$C$62)</f>
        <v>-1.64032313340317</v>
      </c>
      <c r="M24" s="44" t="n">
        <f aca="false">L24*(1+Supuestos!$C$62)</f>
        <v>-1.67312959607124</v>
      </c>
    </row>
    <row r="25" customFormat="false" ht="15" hidden="false" customHeight="false" outlineLevel="0" collapsed="false">
      <c r="A25" s="8" t="s">
        <v>213</v>
      </c>
      <c r="B25" s="2" t="s">
        <v>80</v>
      </c>
      <c r="C25" s="47" t="n">
        <f aca="false">-Supuestos!$C$64*(C14+C15+C16)</f>
        <v>-0.396</v>
      </c>
      <c r="D25" s="47" t="n">
        <f aca="false">-Supuestos!$C$64*(D14+D15+D16)</f>
        <v>-0.618</v>
      </c>
      <c r="E25" s="44" t="n">
        <f aca="false">-Supuestos!$C$64*(E14+E15+E16)</f>
        <v>-0.5943624</v>
      </c>
      <c r="F25" s="44" t="n">
        <f aca="false">-Supuestos!$C$64*(F14+F15+F16)</f>
        <v>-0.571924515428571</v>
      </c>
      <c r="G25" s="44" t="n">
        <f aca="false">-Supuestos!$C$64*(G14+G15+G16)</f>
        <v>-0.573978834137143</v>
      </c>
      <c r="H25" s="44" t="n">
        <f aca="false">-Supuestos!$C$64*(H14+H15+H16)</f>
        <v>-0.578236689343886</v>
      </c>
      <c r="I25" s="44" t="n">
        <f aca="false">-Supuestos!$C$64*(I14+I15+I16)</f>
        <v>-0.585323463038403</v>
      </c>
      <c r="J25" s="44" t="n">
        <f aca="false">-Supuestos!$C$64*(J14+J15+J16)</f>
        <v>-0.592702645317619</v>
      </c>
      <c r="K25" s="44" t="n">
        <f aca="false">-Supuestos!$C$64*(K14+K15+K16)</f>
        <v>-0.600369863921631</v>
      </c>
      <c r="L25" s="44" t="n">
        <f aca="false">-Supuestos!$C$64*(L14+L15+L16)</f>
        <v>-0.608321260570785</v>
      </c>
      <c r="M25" s="44" t="n">
        <f aca="false">-Supuestos!$C$64*(M14+M15+M16)</f>
        <v>-0.61655346504175</v>
      </c>
    </row>
    <row r="26" customFormat="false" ht="15" hidden="false" customHeight="false" outlineLevel="0" collapsed="false">
      <c r="A26" s="8" t="s">
        <v>214</v>
      </c>
      <c r="B26" s="2" t="s">
        <v>80</v>
      </c>
      <c r="C26" s="47" t="n">
        <f aca="false">-Supuestos!C45*Fiscal_Deuda!C25</f>
        <v>-0.63738</v>
      </c>
      <c r="D26" s="47" t="n">
        <f aca="false">-Supuestos!D45*Fiscal_Deuda!C25</f>
        <v>-0.7082</v>
      </c>
      <c r="E26" s="44" t="n">
        <f aca="false">-Supuestos!E45*Fiscal_Deuda!D25</f>
        <v>-0.770328</v>
      </c>
      <c r="F26" s="44" t="n">
        <f aca="false">-Supuestos!F45*Fiscal_Deuda!E25</f>
        <v>-0.819728</v>
      </c>
      <c r="G26" s="44" t="n">
        <f aca="false">-Supuestos!G45*Fiscal_Deuda!F25</f>
        <v>-0.850928</v>
      </c>
      <c r="H26" s="44" t="n">
        <f aca="false">-Supuestos!H45*Fiscal_Deuda!G25</f>
        <v>-0.874328</v>
      </c>
      <c r="I26" s="44" t="n">
        <f aca="false">-Supuestos!I45*Fiscal_Deuda!H25</f>
        <v>-0.874328</v>
      </c>
      <c r="J26" s="44" t="n">
        <f aca="false">-Supuestos!J45*Fiscal_Deuda!I25</f>
        <v>-0.884728</v>
      </c>
      <c r="K26" s="44" t="n">
        <f aca="false">-Supuestos!K45*Fiscal_Deuda!J25</f>
        <v>-0.895128</v>
      </c>
      <c r="L26" s="44" t="n">
        <f aca="false">-Supuestos!L45*Fiscal_Deuda!K25</f>
        <v>-0.902928</v>
      </c>
      <c r="M26" s="44" t="n">
        <f aca="false">-Supuestos!M45*Fiscal_Deuda!L25</f>
        <v>-0.910728</v>
      </c>
    </row>
    <row r="27" customFormat="false" ht="15" hidden="false" customHeight="false" outlineLevel="0" collapsed="false">
      <c r="A27" s="8" t="s">
        <v>215</v>
      </c>
      <c r="B27" s="2" t="s">
        <v>80</v>
      </c>
      <c r="C27" s="30" t="n">
        <v>0</v>
      </c>
      <c r="D27" s="47" t="n">
        <f aca="false">-Supuestos!$C$66*C37</f>
        <v>-0</v>
      </c>
      <c r="E27" s="44" t="n">
        <f aca="false">-Supuestos!$C$66*D37</f>
        <v>-0.02365</v>
      </c>
      <c r="F27" s="44" t="n">
        <f aca="false">-Supuestos!$C$66*E37</f>
        <v>-0.05775</v>
      </c>
      <c r="G27" s="44" t="n">
        <f aca="false">-Supuestos!$C$66*F37</f>
        <v>-0.09185</v>
      </c>
      <c r="H27" s="44" t="n">
        <f aca="false">-Supuestos!$C$66*G37</f>
        <v>-0.1045</v>
      </c>
      <c r="I27" s="44" t="n">
        <f aca="false">-Supuestos!$C$66*H37</f>
        <v>-0.1045</v>
      </c>
      <c r="J27" s="44" t="n">
        <f aca="false">-Supuestos!$C$66*I37</f>
        <v>-0.100558333333333</v>
      </c>
      <c r="K27" s="44" t="n">
        <f aca="false">-Supuestos!$C$66*J37</f>
        <v>-0.0909333333333333</v>
      </c>
      <c r="L27" s="44" t="n">
        <f aca="false">-Supuestos!$C$66*K37</f>
        <v>-0.075625</v>
      </c>
      <c r="M27" s="44" t="n">
        <f aca="false">-Supuestos!$C$66*L37</f>
        <v>-0.0582083333333333</v>
      </c>
    </row>
    <row r="28" customFormat="false" ht="15" hidden="false" customHeight="false" outlineLevel="0" collapsed="false">
      <c r="A28" s="8" t="s">
        <v>216</v>
      </c>
      <c r="B28" s="2" t="s">
        <v>80</v>
      </c>
      <c r="C28" s="43" t="n">
        <f aca="false">Supuestos!C32</f>
        <v>1.05</v>
      </c>
      <c r="D28" s="43" t="n">
        <f aca="false">Supuestos!D32</f>
        <v>1.35</v>
      </c>
      <c r="E28" s="44" t="n">
        <f aca="false">D28*(1+Supuestos!$C$65)</f>
        <v>1.3905</v>
      </c>
      <c r="F28" s="44" t="n">
        <f aca="false">E28*(1+Supuestos!$C$65)</f>
        <v>1.432215</v>
      </c>
      <c r="G28" s="44" t="n">
        <f aca="false">F28*(1+Supuestos!$C$65)</f>
        <v>1.47518145</v>
      </c>
      <c r="H28" s="44" t="n">
        <f aca="false">G28*(1+Supuestos!$C$65)</f>
        <v>1.5194368935</v>
      </c>
      <c r="I28" s="44" t="n">
        <f aca="false">H28*(1+Supuestos!$C$65)</f>
        <v>1.565020000305</v>
      </c>
      <c r="J28" s="44" t="n">
        <f aca="false">I28*(1+Supuestos!$C$65)</f>
        <v>1.61197060031415</v>
      </c>
      <c r="K28" s="44" t="n">
        <f aca="false">J28*(1+Supuestos!$C$65)</f>
        <v>1.66032971832357</v>
      </c>
      <c r="L28" s="44" t="n">
        <f aca="false">K28*(1+Supuestos!$C$65)</f>
        <v>1.71013960987328</v>
      </c>
      <c r="M28" s="44" t="n">
        <f aca="false">L28*(1+Supuestos!$C$65)</f>
        <v>1.76144379816948</v>
      </c>
    </row>
    <row r="29" customFormat="false" ht="15" hidden="false" customHeight="false" outlineLevel="0" collapsed="false">
      <c r="A29" s="8" t="s">
        <v>217</v>
      </c>
      <c r="B29" s="2" t="s">
        <v>80</v>
      </c>
      <c r="D29" s="47" t="n">
        <f aca="false">D19-D20-D21+D24+D25+D26+D27+D28</f>
        <v>0.6238</v>
      </c>
      <c r="E29" s="44" t="n">
        <f aca="false">E19-E20-E21+E24+E25+E26+E27+E28</f>
        <v>0.452478731999998</v>
      </c>
      <c r="F29" s="44" t="n">
        <f aca="false">F19-F20-F21+F24+F25+F26+F27+F28</f>
        <v>-0.220799975400427</v>
      </c>
      <c r="G29" s="44" t="n">
        <f aca="false">G19-G20-G21+G24+G25+G26+G27+G28</f>
        <v>-0.668141955512582</v>
      </c>
      <c r="H29" s="44" t="n">
        <f aca="false">H19-H20-H21+H24+H25+H26+H27+H28</f>
        <v>-1.04575595963419</v>
      </c>
      <c r="I29" s="44" t="n">
        <f aca="false">I19-I20-I21+I24+I25+I26+I27+I28</f>
        <v>-1.40219111181503</v>
      </c>
      <c r="J29" s="44" t="n">
        <f aca="false">J19-J20-J21+J24+J25+J26+J27+J28</f>
        <v>-1.78658195209703</v>
      </c>
      <c r="K29" s="44" t="n">
        <f aca="false">K19-K20-K21+K24+K25+K26+K27+K28</f>
        <v>-2.18832717837085</v>
      </c>
      <c r="L29" s="44" t="n">
        <f aca="false">L19-L20-L21+L24+L25+L26+L27+L28</f>
        <v>-2.11502272651567</v>
      </c>
      <c r="M29" s="44" t="n">
        <f aca="false">M19-M20-M21+M24+M25+M26+M27+M28</f>
        <v>-0.714988443015065</v>
      </c>
    </row>
    <row r="30" customFormat="false" ht="15" hidden="false" customHeight="false" outlineLevel="0" collapsed="false">
      <c r="A30" s="3" t="s">
        <v>218</v>
      </c>
      <c r="B30" s="2" t="s">
        <v>80</v>
      </c>
      <c r="C30" s="45" t="n">
        <f aca="false">C19-C23+C24+C25+C26+C27+C28</f>
        <v>-1.15338</v>
      </c>
      <c r="D30" s="45" t="n">
        <f aca="false">D29+D44</f>
        <v>0.6238</v>
      </c>
      <c r="E30" s="46" t="n">
        <f aca="false">E29+E44</f>
        <v>0.452478731999998</v>
      </c>
      <c r="F30" s="46" t="n">
        <f aca="false">F29+F44</f>
        <v>-0.220799975400427</v>
      </c>
      <c r="G30" s="46" t="n">
        <f aca="false">G29+G44</f>
        <v>-0.668141955512582</v>
      </c>
      <c r="H30" s="46" t="n">
        <f aca="false">H29+H44</f>
        <v>-1.04575595963419</v>
      </c>
      <c r="I30" s="46" t="n">
        <f aca="false">I29+I44</f>
        <v>-1.40219111181503</v>
      </c>
      <c r="J30" s="46" t="n">
        <f aca="false">J29+J44</f>
        <v>-1.78658195209703</v>
      </c>
      <c r="K30" s="46" t="n">
        <f aca="false">K29+K44</f>
        <v>-1.93533368154603</v>
      </c>
      <c r="L30" s="46" t="n">
        <f aca="false">L29+L44</f>
        <v>-1.15789858237303</v>
      </c>
      <c r="M30" s="46" t="n">
        <f aca="false">M29+M44</f>
        <v>-0.291998495476823</v>
      </c>
    </row>
    <row r="31" customFormat="false" ht="15" hidden="false" customHeight="false" outlineLevel="0" collapsed="false">
      <c r="A31" s="20" t="s">
        <v>219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customFormat="false" ht="15" hidden="false" customHeight="false" outlineLevel="0" collapsed="false">
      <c r="A32" s="8" t="s">
        <v>97</v>
      </c>
      <c r="B32" s="2" t="s">
        <v>80</v>
      </c>
      <c r="C32" s="43" t="n">
        <f aca="false">Supuestos!C34</f>
        <v>0.1</v>
      </c>
      <c r="D32" s="43" t="n">
        <f aca="false">Supuestos!D34</f>
        <v>0.3</v>
      </c>
      <c r="E32" s="44" t="n">
        <f aca="false">Supuestos!E34*Supuestos!$K$89</f>
        <v>0.5</v>
      </c>
      <c r="F32" s="44" t="n">
        <f aca="false">Supuestos!F34*Supuestos!$K$89</f>
        <v>0.7</v>
      </c>
      <c r="G32" s="44" t="n">
        <f aca="false">Supuestos!G34*Supuestos!$K$89</f>
        <v>0.9</v>
      </c>
      <c r="H32" s="44" t="n">
        <f aca="false">Supuestos!H34*Supuestos!$K$89</f>
        <v>1</v>
      </c>
      <c r="I32" s="44" t="n">
        <f aca="false">Supuestos!I34*Supuestos!$K$89</f>
        <v>1</v>
      </c>
      <c r="J32" s="44" t="n">
        <f aca="false">Supuestos!J34*Supuestos!$K$89</f>
        <v>1</v>
      </c>
      <c r="K32" s="44" t="n">
        <f aca="false">Supuestos!K34*Supuestos!$K$89</f>
        <v>1</v>
      </c>
      <c r="L32" s="44" t="n">
        <f aca="false">Supuestos!L34*Supuestos!$K$89</f>
        <v>1</v>
      </c>
      <c r="M32" s="44" t="n">
        <f aca="false">Supuestos!M34*Supuestos!$K$89</f>
        <v>1</v>
      </c>
    </row>
    <row r="33" customFormat="false" ht="15" hidden="false" customHeight="false" outlineLevel="0" collapsed="false">
      <c r="A33" s="8" t="s">
        <v>220</v>
      </c>
      <c r="B33" s="2" t="s">
        <v>80</v>
      </c>
      <c r="C33" s="43" t="n">
        <f aca="false">Supuestos!C35</f>
        <v>1.3</v>
      </c>
      <c r="D33" s="43" t="n">
        <f aca="false">Supuestos!D35</f>
        <v>1.6</v>
      </c>
      <c r="E33" s="10" t="n">
        <f aca="false">Supuestos!E35</f>
        <v>2</v>
      </c>
      <c r="F33" s="10" t="n">
        <f aca="false">Supuestos!F35</f>
        <v>1.7</v>
      </c>
      <c r="G33" s="10" t="n">
        <f aca="false">Supuestos!G35</f>
        <v>1.5</v>
      </c>
      <c r="H33" s="10" t="n">
        <f aca="false">Supuestos!H35</f>
        <v>1.3</v>
      </c>
      <c r="I33" s="10" t="n">
        <f aca="false">Supuestos!I35</f>
        <v>1.3</v>
      </c>
      <c r="J33" s="10" t="n">
        <f aca="false">Supuestos!J35</f>
        <v>1.3</v>
      </c>
      <c r="K33" s="10" t="n">
        <f aca="false">Supuestos!K35</f>
        <v>1.3</v>
      </c>
      <c r="L33" s="10" t="n">
        <f aca="false">Supuestos!L35</f>
        <v>1.3</v>
      </c>
      <c r="M33" s="10" t="n">
        <f aca="false">Supuestos!M35</f>
        <v>1.3</v>
      </c>
    </row>
    <row r="34" customFormat="false" ht="15" hidden="false" customHeight="false" outlineLevel="0" collapsed="false">
      <c r="A34" s="8" t="s">
        <v>101</v>
      </c>
      <c r="B34" s="2" t="s">
        <v>80</v>
      </c>
      <c r="C34" s="43" t="n">
        <f aca="false">Supuestos!C36</f>
        <v>1</v>
      </c>
      <c r="D34" s="47" t="n">
        <f aca="false">Supuestos!D36+Supuestos!$L$89*(Supuestos!D38-Supuestos!D37)</f>
        <v>0.95</v>
      </c>
      <c r="E34" s="44" t="n">
        <f aca="false">Supuestos!E36+Supuestos!$L$89*(Supuestos!E38-Supuestos!E37)</f>
        <v>1.05</v>
      </c>
      <c r="F34" s="44" t="n">
        <f aca="false">Supuestos!F36+Supuestos!$L$89*(Supuestos!F38-Supuestos!F37)</f>
        <v>1.1</v>
      </c>
      <c r="G34" s="44" t="n">
        <f aca="false">Supuestos!G36+Supuestos!$L$89*(Supuestos!G38-Supuestos!G37)</f>
        <v>1.05</v>
      </c>
      <c r="H34" s="44" t="n">
        <f aca="false">Supuestos!H36+Supuestos!$L$89*(Supuestos!H38-Supuestos!H37)</f>
        <v>1.3</v>
      </c>
      <c r="I34" s="44" t="n">
        <f aca="false">Supuestos!I36+Supuestos!$L$89*(Supuestos!I38-Supuestos!I37)</f>
        <v>1.1</v>
      </c>
      <c r="J34" s="44" t="n">
        <f aca="false">Supuestos!J36+Supuestos!$L$89*(Supuestos!J38-Supuestos!J37)</f>
        <v>1.1</v>
      </c>
      <c r="K34" s="44" t="n">
        <f aca="false">Supuestos!K36+Supuestos!$L$89*(Supuestos!K38-Supuestos!K37)</f>
        <v>1.15</v>
      </c>
      <c r="L34" s="44" t="n">
        <f aca="false">Supuestos!L36+Supuestos!$L$89*(Supuestos!L38-Supuestos!L37)</f>
        <v>1.15</v>
      </c>
      <c r="M34" s="44" t="n">
        <f aca="false">Supuestos!M36+Supuestos!$L$89*(Supuestos!M38-Supuestos!M37)</f>
        <v>1.2</v>
      </c>
    </row>
    <row r="35" customFormat="false" ht="15" hidden="false" customHeight="false" outlineLevel="0" collapsed="false">
      <c r="A35" s="8" t="s">
        <v>221</v>
      </c>
      <c r="B35" s="2" t="s">
        <v>80</v>
      </c>
      <c r="C35" s="43" t="n">
        <f aca="false">Supuestos!C39</f>
        <v>0</v>
      </c>
      <c r="D35" s="43" t="n">
        <f aca="false">Supuestos!D39</f>
        <v>0.43</v>
      </c>
      <c r="E35" s="10" t="n">
        <f aca="false">Supuestos!E39</f>
        <v>0.62</v>
      </c>
      <c r="F35" s="10" t="n">
        <f aca="false">Supuestos!F39</f>
        <v>0.62</v>
      </c>
      <c r="G35" s="10" t="n">
        <f aca="false">Supuestos!G39</f>
        <v>0.23</v>
      </c>
      <c r="H35" s="10" t="n">
        <f aca="false">Supuestos!H39</f>
        <v>0</v>
      </c>
      <c r="I35" s="10" t="n">
        <f aca="false">Supuestos!I39</f>
        <v>0</v>
      </c>
      <c r="J35" s="10" t="n">
        <f aca="false">Supuestos!J39</f>
        <v>0</v>
      </c>
      <c r="K35" s="10" t="n">
        <f aca="false">Supuestos!K39</f>
        <v>0</v>
      </c>
      <c r="L35" s="10" t="n">
        <f aca="false">Supuestos!L39</f>
        <v>0</v>
      </c>
      <c r="M35" s="10" t="n">
        <f aca="false">Supuestos!M39</f>
        <v>0</v>
      </c>
    </row>
    <row r="36" customFormat="false" ht="15" hidden="false" customHeight="false" outlineLevel="0" collapsed="false">
      <c r="A36" s="8" t="s">
        <v>222</v>
      </c>
      <c r="B36" s="2" t="s">
        <v>80</v>
      </c>
      <c r="C36" s="30" t="n">
        <v>0</v>
      </c>
      <c r="D36" s="30" t="n">
        <v>0</v>
      </c>
      <c r="E36" s="31" t="n">
        <v>0</v>
      </c>
      <c r="F36" s="31" t="n">
        <v>0</v>
      </c>
      <c r="G36" s="31" t="n">
        <v>0</v>
      </c>
      <c r="H36" s="44" t="n">
        <f aca="false">(Supuestos!C39)/6</f>
        <v>0</v>
      </c>
      <c r="I36" s="44" t="n">
        <f aca="false">(Supuestos!D39+Supuestos!C39)/6</f>
        <v>0.0716666666666667</v>
      </c>
      <c r="J36" s="44" t="n">
        <f aca="false">(Supuestos!E39+Supuestos!D39+Supuestos!C39)/6</f>
        <v>0.175</v>
      </c>
      <c r="K36" s="44" t="n">
        <f aca="false">(Supuestos!F39+Supuestos!E39+Supuestos!D39+Supuestos!C39)/6</f>
        <v>0.278333333333333</v>
      </c>
      <c r="L36" s="44" t="n">
        <f aca="false">(Supuestos!G39+Supuestos!F39+Supuestos!E39+Supuestos!D39+Supuestos!C39)/6</f>
        <v>0.316666666666667</v>
      </c>
      <c r="M36" s="44" t="n">
        <f aca="false">(Supuestos!H39+Supuestos!G39+Supuestos!F39+Supuestos!E39+Supuestos!D39+Supuestos!C39)/6</f>
        <v>0.316666666666667</v>
      </c>
    </row>
    <row r="37" customFormat="false" ht="15" hidden="false" customHeight="false" outlineLevel="0" collapsed="false">
      <c r="A37" s="8" t="s">
        <v>223</v>
      </c>
      <c r="B37" s="2" t="s">
        <v>80</v>
      </c>
      <c r="C37" s="43" t="n">
        <f aca="false">Supuestos!$C$76</f>
        <v>0</v>
      </c>
      <c r="D37" s="47" t="n">
        <f aca="false">C37+D35-D36</f>
        <v>0.43</v>
      </c>
      <c r="E37" s="44" t="n">
        <f aca="false">D37+E35-E36</f>
        <v>1.05</v>
      </c>
      <c r="F37" s="44" t="n">
        <f aca="false">E37+F35-F36</f>
        <v>1.67</v>
      </c>
      <c r="G37" s="44" t="n">
        <f aca="false">F37+G35-G36</f>
        <v>1.9</v>
      </c>
      <c r="H37" s="44" t="n">
        <f aca="false">G37+H35-H36</f>
        <v>1.9</v>
      </c>
      <c r="I37" s="44" t="n">
        <f aca="false">H37+I35-I36</f>
        <v>1.82833333333333</v>
      </c>
      <c r="J37" s="44" t="n">
        <f aca="false">I37+J35-J36</f>
        <v>1.65333333333333</v>
      </c>
      <c r="K37" s="44" t="n">
        <f aca="false">J37+K35-K36</f>
        <v>1.375</v>
      </c>
      <c r="L37" s="44" t="n">
        <f aca="false">K37+L35-L36</f>
        <v>1.05833333333333</v>
      </c>
      <c r="M37" s="44" t="n">
        <f aca="false">L37+M35-M36</f>
        <v>0.741666666666667</v>
      </c>
    </row>
    <row r="38" customFormat="false" ht="15" hidden="false" customHeight="false" outlineLevel="0" collapsed="false">
      <c r="A38" s="8" t="s">
        <v>224</v>
      </c>
      <c r="B38" s="2" t="s">
        <v>80</v>
      </c>
      <c r="C38" s="43" t="n">
        <f aca="false">Supuestos!C40</f>
        <v>-1.6</v>
      </c>
      <c r="D38" s="43" t="n">
        <f aca="false">Supuestos!D40</f>
        <v>-1.5</v>
      </c>
      <c r="E38" s="44" t="n">
        <f aca="false">Supuestos!E40+Supuestos!$J$89</f>
        <v>-0.9</v>
      </c>
      <c r="F38" s="44" t="n">
        <f aca="false">Supuestos!F40+Supuestos!$J$89</f>
        <v>-0.6</v>
      </c>
      <c r="G38" s="44" t="n">
        <f aca="false">Supuestos!G40+Supuestos!$J$89</f>
        <v>-0.4</v>
      </c>
      <c r="H38" s="44" t="n">
        <f aca="false">Supuestos!H40+Supuestos!$J$89</f>
        <v>-0.3</v>
      </c>
      <c r="I38" s="44" t="n">
        <f aca="false">Supuestos!I40+Supuestos!$J$89</f>
        <v>-0.3</v>
      </c>
      <c r="J38" s="44" t="n">
        <f aca="false">Supuestos!J40+Supuestos!$J$89</f>
        <v>-0.3</v>
      </c>
      <c r="K38" s="44" t="n">
        <f aca="false">Supuestos!K40+Supuestos!$J$89</f>
        <v>-0.3</v>
      </c>
      <c r="L38" s="44" t="n">
        <f aca="false">Supuestos!L40+Supuestos!$J$89</f>
        <v>-0.3</v>
      </c>
      <c r="M38" s="44" t="n">
        <f aca="false">Supuestos!M40+Supuestos!$J$89</f>
        <v>-0.3</v>
      </c>
    </row>
    <row r="39" customFormat="false" ht="15" hidden="false" customHeight="false" outlineLevel="0" collapsed="false">
      <c r="A39" s="8" t="s">
        <v>225</v>
      </c>
      <c r="B39" s="2" t="s">
        <v>80</v>
      </c>
      <c r="C39" s="43" t="n">
        <f aca="false">Supuestos!$C$73</f>
        <v>2.2</v>
      </c>
      <c r="D39" s="47" t="n">
        <f aca="false">C39*D9/C9</f>
        <v>3.08</v>
      </c>
      <c r="E39" s="44" t="n">
        <f aca="false">D39*E9/D9</f>
        <v>2.838</v>
      </c>
      <c r="F39" s="44" t="n">
        <f aca="false">E39*F9/E9</f>
        <v>2.684</v>
      </c>
      <c r="G39" s="44" t="n">
        <f aca="false">F39*G9/F9</f>
        <v>2.684</v>
      </c>
      <c r="H39" s="44" t="n">
        <f aca="false">G39*H9/G9</f>
        <v>2.684</v>
      </c>
      <c r="I39" s="44" t="n">
        <f aca="false">H39*I9/H9</f>
        <v>2.684</v>
      </c>
      <c r="J39" s="44" t="n">
        <f aca="false">I39*J9/I9</f>
        <v>2.684</v>
      </c>
      <c r="K39" s="44" t="n">
        <f aca="false">J39*K9/J9</f>
        <v>2.684</v>
      </c>
      <c r="L39" s="44" t="n">
        <f aca="false">K39*L9/K9</f>
        <v>2.684</v>
      </c>
      <c r="M39" s="44" t="n">
        <f aca="false">L39*M9/L9</f>
        <v>2.684</v>
      </c>
    </row>
    <row r="40" customFormat="false" ht="15" hidden="false" customHeight="false" outlineLevel="0" collapsed="false">
      <c r="A40" s="8" t="s">
        <v>226</v>
      </c>
      <c r="B40" s="2" t="s">
        <v>80</v>
      </c>
      <c r="C40" s="43" t="n">
        <f aca="false">Supuestos!$C$74</f>
        <v>1.61</v>
      </c>
      <c r="D40" s="47" t="n">
        <f aca="false">C46-C39+D29+D32+D33-D34+D35-D36+D38</f>
        <v>2.1138</v>
      </c>
      <c r="E40" s="44" t="n">
        <f aca="false">D46-D39+E29+E32+E33-E34+E35-E36+E38</f>
        <v>3.736278732</v>
      </c>
      <c r="F40" s="44" t="n">
        <f aca="false">E46-E39+F29+F32+F33-F34+F35-F36+F38</f>
        <v>4.83547875659957</v>
      </c>
      <c r="G40" s="44" t="n">
        <f aca="false">F46-F39+G29+G32+G33-G34+G35-G36+G38</f>
        <v>5.34733680108699</v>
      </c>
      <c r="H40" s="44" t="n">
        <f aca="false">G46-G39+H29+H32+H33-H34+H35-H36+H38</f>
        <v>5.0015808414528</v>
      </c>
      <c r="I40" s="44" t="n">
        <f aca="false">H46-H39+I29+I32+I33-I34+I35-I36+I38</f>
        <v>4.4277230629711</v>
      </c>
      <c r="J40" s="44" t="n">
        <f aca="false">I46-I39+J29+J32+J33-J34+J35-J36+J38</f>
        <v>3.36614111087407</v>
      </c>
      <c r="K40" s="44" t="n">
        <f aca="false">J46-J39+K29+K32+K33-K34+K35-K36+K38</f>
        <v>1.74948059916988</v>
      </c>
      <c r="L40" s="44" t="n">
        <f aca="false">K46-K39+L29+L32+L33-L34+L35-L36+L38</f>
        <v>0.42078470281237</v>
      </c>
      <c r="M40" s="44" t="n">
        <f aca="false">L46-L39+M29+M32+M33-M34+M35-M36+M38</f>
        <v>1.14625373727328</v>
      </c>
    </row>
    <row r="41" customFormat="false" ht="15" hidden="false" customHeight="false" outlineLevel="0" collapsed="false">
      <c r="A41" s="8" t="s">
        <v>227</v>
      </c>
      <c r="B41" s="2" t="s">
        <v>80</v>
      </c>
      <c r="D41" s="47" t="n">
        <f aca="false">D40+D39</f>
        <v>5.1938</v>
      </c>
      <c r="E41" s="44" t="n">
        <f aca="false">E40+E39</f>
        <v>6.574278732</v>
      </c>
      <c r="F41" s="44" t="n">
        <f aca="false">F40+F39</f>
        <v>7.51947875659957</v>
      </c>
      <c r="G41" s="44" t="n">
        <f aca="false">G40+G39</f>
        <v>8.03133680108699</v>
      </c>
      <c r="H41" s="44" t="n">
        <f aca="false">H40+H39</f>
        <v>7.6855808414528</v>
      </c>
      <c r="I41" s="44" t="n">
        <f aca="false">I40+I39</f>
        <v>7.1117230629711</v>
      </c>
      <c r="J41" s="44" t="n">
        <f aca="false">J40+J39</f>
        <v>6.05014111087407</v>
      </c>
      <c r="K41" s="44" t="n">
        <f aca="false">K40+K39</f>
        <v>4.43348059916988</v>
      </c>
      <c r="L41" s="44" t="n">
        <f aca="false">L40+L39</f>
        <v>3.10478470281237</v>
      </c>
      <c r="M41" s="44" t="n">
        <f aca="false">M40+M39</f>
        <v>3.83025373727328</v>
      </c>
    </row>
    <row r="42" customFormat="false" ht="15" hidden="false" customHeight="false" outlineLevel="0" collapsed="false">
      <c r="A42" s="8" t="s">
        <v>137</v>
      </c>
      <c r="B42" s="2" t="s">
        <v>80</v>
      </c>
      <c r="D42" s="47" t="n">
        <f aca="false">Supuestos!$C$58/12*(D20+D21)</f>
        <v>2.41666666666667</v>
      </c>
      <c r="E42" s="44" t="n">
        <f aca="false">Supuestos!$C$58/12*(E20+E21)</f>
        <v>2.38041216</v>
      </c>
      <c r="F42" s="44" t="n">
        <f aca="false">Supuestos!$C$58/12*(F20+F21)</f>
        <v>2.45510098202911</v>
      </c>
      <c r="G42" s="44" t="n">
        <f aca="false">Supuestos!$C$58/12*(G20+G21)</f>
        <v>2.56857441465144</v>
      </c>
      <c r="H42" s="44" t="n">
        <f aca="false">Supuestos!$C$58/12*(H20+H21)</f>
        <v>2.6831037036328</v>
      </c>
      <c r="I42" s="44" t="n">
        <f aca="false">Supuestos!$C$58/12*(I20+I21)</f>
        <v>2.811081793357</v>
      </c>
      <c r="J42" s="44" t="n">
        <f aca="false">Supuestos!$C$58/12*(J20+J21)</f>
        <v>2.94565272367713</v>
      </c>
      <c r="K42" s="44" t="n">
        <f aca="false">Supuestos!$C$58/12*(K20+K21)</f>
        <v>3.08716724551221</v>
      </c>
      <c r="L42" s="44" t="n">
        <f aca="false">Supuestos!$C$58/12*(L20+L21)</f>
        <v>3.13689561943604</v>
      </c>
      <c r="M42" s="44" t="n">
        <f aca="false">Supuestos!$C$58/12*(M20+M21)</f>
        <v>2.9226460202186</v>
      </c>
    </row>
    <row r="43" customFormat="false" ht="15" hidden="false" customHeight="false" outlineLevel="0" collapsed="false">
      <c r="A43" s="8" t="s">
        <v>139</v>
      </c>
      <c r="B43" s="2" t="s">
        <v>80</v>
      </c>
      <c r="D43" s="47" t="n">
        <f aca="false">Supuestos!$C$59/12*(D20+D21)</f>
        <v>3.86666666666667</v>
      </c>
      <c r="E43" s="44" t="n">
        <f aca="false">Supuestos!$C$59/12*(E20+E21)</f>
        <v>3.808659456</v>
      </c>
      <c r="F43" s="44" t="n">
        <f aca="false">Supuestos!$C$59/12*(F20+F21)</f>
        <v>3.92816157124657</v>
      </c>
      <c r="G43" s="44" t="n">
        <f aca="false">Supuestos!$C$59/12*(G20+G21)</f>
        <v>4.1097190634423</v>
      </c>
      <c r="H43" s="44" t="n">
        <f aca="false">Supuestos!$C$59/12*(H20+H21)</f>
        <v>4.29296592581249</v>
      </c>
      <c r="I43" s="44" t="n">
        <f aca="false">Supuestos!$C$59/12*(I20+I21)</f>
        <v>4.49773086937121</v>
      </c>
      <c r="J43" s="44" t="n">
        <f aca="false">Supuestos!$C$59/12*(J20+J21)</f>
        <v>4.7130443578834</v>
      </c>
      <c r="K43" s="44" t="n">
        <f aca="false">Supuestos!$C$59/12*(K20+K21)</f>
        <v>4.93946759281953</v>
      </c>
      <c r="L43" s="44" t="n">
        <f aca="false">Supuestos!$C$59/12*(L20+L21)</f>
        <v>5.01903299109766</v>
      </c>
      <c r="M43" s="44" t="n">
        <f aca="false">Supuestos!$C$59/12*(M20+M21)</f>
        <v>4.67623363234976</v>
      </c>
    </row>
    <row r="44" customFormat="false" ht="15" hidden="false" customHeight="false" outlineLevel="0" collapsed="false">
      <c r="A44" s="3" t="s">
        <v>228</v>
      </c>
      <c r="B44" s="2" t="s">
        <v>80</v>
      </c>
      <c r="C44" s="48" t="n">
        <v>0</v>
      </c>
      <c r="D44" s="48" t="n">
        <v>0</v>
      </c>
      <c r="E44" s="46" t="n">
        <f aca="false">MAX(0,E42-E41,Supuestos!$C$60*(E43-E41))</f>
        <v>0</v>
      </c>
      <c r="F44" s="46" t="n">
        <f aca="false">MAX(0,F42-F41,Supuestos!$C$60*(F43-F41))</f>
        <v>0</v>
      </c>
      <c r="G44" s="46" t="n">
        <f aca="false">MAX(0,G42-G41,Supuestos!$C$60*(G43-G41))</f>
        <v>0</v>
      </c>
      <c r="H44" s="46" t="n">
        <f aca="false">MAX(0,H42-H41,Supuestos!$C$60*(H43-H41))</f>
        <v>0</v>
      </c>
      <c r="I44" s="46" t="n">
        <f aca="false">MAX(0,I42-I41,Supuestos!$C$60*(I43-I41))</f>
        <v>0</v>
      </c>
      <c r="J44" s="46" t="n">
        <f aca="false">MAX(0,J42-J41,Supuestos!$C$60*(J43-J41))</f>
        <v>0</v>
      </c>
      <c r="K44" s="46" t="n">
        <f aca="false">MAX(0,K42-K41,Supuestos!$C$60*(K43-K41))</f>
        <v>0.252993496824824</v>
      </c>
      <c r="L44" s="46" t="n">
        <f aca="false">MAX(0,L42-L41,Supuestos!$C$60*(L43-L41))</f>
        <v>0.957124144142643</v>
      </c>
      <c r="M44" s="46" t="n">
        <f aca="false">MAX(0,M42-M41,Supuestos!$C$60*(M43-M41))</f>
        <v>0.422989947538242</v>
      </c>
    </row>
    <row r="45" customFormat="false" ht="15" hidden="false" customHeight="false" outlineLevel="0" collapsed="false">
      <c r="A45" s="8" t="s">
        <v>229</v>
      </c>
      <c r="B45" s="2" t="s">
        <v>49</v>
      </c>
      <c r="C45" s="22" t="n">
        <v>0</v>
      </c>
      <c r="D45" s="42" t="n">
        <f aca="false">D44/(Supuestos!$C$55*D21)</f>
        <v>0</v>
      </c>
      <c r="E45" s="41" t="n">
        <f aca="false">E44/(Supuestos!$C$55*E21)</f>
        <v>0</v>
      </c>
      <c r="F45" s="41" t="n">
        <f aca="false">F44/(Supuestos!$C$55*F21)</f>
        <v>0</v>
      </c>
      <c r="G45" s="41" t="n">
        <f aca="false">G44/(Supuestos!$C$55*G21)</f>
        <v>0</v>
      </c>
      <c r="H45" s="41" t="n">
        <f aca="false">H44/(Supuestos!$C$55*H21)</f>
        <v>0</v>
      </c>
      <c r="I45" s="41" t="n">
        <f aca="false">I44/(Supuestos!$C$55*I21)</f>
        <v>0</v>
      </c>
      <c r="J45" s="41" t="n">
        <f aca="false">J44/(Supuestos!$C$55*J21)</f>
        <v>0</v>
      </c>
      <c r="K45" s="41" t="n">
        <f aca="false">K44/(Supuestos!$C$55*K21)</f>
        <v>0.0414855765859181</v>
      </c>
      <c r="L45" s="41" t="n">
        <f aca="false">L44/(Supuestos!$C$55*L21)</f>
        <v>0.154587310563794</v>
      </c>
      <c r="M45" s="41" t="n">
        <f aca="false">M44/(Supuestos!$C$55*M21)</f>
        <v>0.0748583370277311</v>
      </c>
    </row>
    <row r="46" customFormat="false" ht="15" hidden="false" customHeight="false" outlineLevel="0" collapsed="false">
      <c r="A46" s="3" t="s">
        <v>230</v>
      </c>
      <c r="B46" s="2" t="s">
        <v>80</v>
      </c>
      <c r="C46" s="45" t="n">
        <f aca="false">C39+C40</f>
        <v>3.81</v>
      </c>
      <c r="D46" s="45" t="n">
        <f aca="false">D41+D44</f>
        <v>5.1938</v>
      </c>
      <c r="E46" s="46" t="n">
        <f aca="false">E41+E44</f>
        <v>6.574278732</v>
      </c>
      <c r="F46" s="46" t="n">
        <f aca="false">F41+F44</f>
        <v>7.51947875659957</v>
      </c>
      <c r="G46" s="46" t="n">
        <f aca="false">G41+G44</f>
        <v>8.03133680108699</v>
      </c>
      <c r="H46" s="46" t="n">
        <f aca="false">H41+H44</f>
        <v>7.6855808414528</v>
      </c>
      <c r="I46" s="46" t="n">
        <f aca="false">I41+I44</f>
        <v>7.1117230629711</v>
      </c>
      <c r="J46" s="46" t="n">
        <f aca="false">J41+J44</f>
        <v>6.05014111087407</v>
      </c>
      <c r="K46" s="46" t="n">
        <f aca="false">K41+K44</f>
        <v>4.68647409599471</v>
      </c>
      <c r="L46" s="46" t="n">
        <f aca="false">L41+L44</f>
        <v>4.06190884695501</v>
      </c>
      <c r="M46" s="46" t="n">
        <f aca="false">M41+M44</f>
        <v>4.25324368481152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13" min="3" style="0" width="10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17" t="s">
        <v>231</v>
      </c>
    </row>
    <row r="2" customFormat="false" ht="15" hidden="false" customHeight="false" outlineLevel="0" collapsed="false">
      <c r="A2" s="2" t="s">
        <v>232</v>
      </c>
    </row>
    <row r="3" customFormat="false" ht="15" hidden="false" customHeight="false" outlineLevel="0" collapsed="false">
      <c r="C3" s="18" t="s">
        <v>36</v>
      </c>
      <c r="D3" s="18" t="s">
        <v>37</v>
      </c>
    </row>
    <row r="4" customFormat="false" ht="15" hidden="false" customHeight="false" outlineLevel="0" collapsed="false">
      <c r="A4" s="6" t="s">
        <v>38</v>
      </c>
      <c r="B4" s="6" t="s">
        <v>39</v>
      </c>
      <c r="C4" s="19" t="s">
        <v>40</v>
      </c>
      <c r="D4" s="19" t="s">
        <v>7</v>
      </c>
      <c r="E4" s="19" t="s">
        <v>8</v>
      </c>
      <c r="F4" s="19" t="s">
        <v>41</v>
      </c>
      <c r="G4" s="19" t="s">
        <v>9</v>
      </c>
      <c r="H4" s="19" t="s">
        <v>42</v>
      </c>
      <c r="I4" s="19" t="s">
        <v>10</v>
      </c>
      <c r="J4" s="19" t="s">
        <v>43</v>
      </c>
      <c r="K4" s="19" t="s">
        <v>44</v>
      </c>
      <c r="L4" s="19" t="s">
        <v>45</v>
      </c>
      <c r="M4" s="19" t="s">
        <v>11</v>
      </c>
      <c r="N4" s="6" t="s">
        <v>46</v>
      </c>
    </row>
    <row r="5" customFormat="false" ht="15" hidden="false" customHeight="false" outlineLevel="0" collapsed="false">
      <c r="A5" s="20" t="s">
        <v>47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customFormat="false" ht="15" hidden="false" customHeight="false" outlineLevel="0" collapsed="false">
      <c r="A6" s="8" t="s">
        <v>233</v>
      </c>
      <c r="B6" s="2" t="s">
        <v>49</v>
      </c>
      <c r="C6" s="40" t="n">
        <f aca="false">Supuestos!C6</f>
        <v>-0.016</v>
      </c>
      <c r="D6" s="42" t="n">
        <f aca="false">Externo!D12-Supuestos!$C$56*Externo!D45</f>
        <v>-0.03</v>
      </c>
      <c r="E6" s="41" t="n">
        <f aca="false">Externo!E12-Supuestos!$C$56*Externo!E45</f>
        <v>-0.015</v>
      </c>
      <c r="F6" s="41" t="n">
        <f aca="false">Externo!F12-Supuestos!$C$56*Externo!F45</f>
        <v>0.005</v>
      </c>
      <c r="G6" s="41" t="n">
        <f aca="false">Externo!G12-Supuestos!$C$56*Externo!G45</f>
        <v>0.02</v>
      </c>
      <c r="H6" s="41" t="n">
        <f aca="false">Externo!H12-Supuestos!$C$56*Externo!H45</f>
        <v>0.025</v>
      </c>
      <c r="I6" s="41" t="n">
        <f aca="false">Externo!I12-Supuestos!$C$56*Externo!I45</f>
        <v>0.028</v>
      </c>
      <c r="J6" s="41" t="n">
        <f aca="false">Externo!J12-Supuestos!$C$56*Externo!J45</f>
        <v>0.028</v>
      </c>
      <c r="K6" s="41" t="n">
        <f aca="false">Externo!K12-Supuestos!$C$56*Externo!K45</f>
        <v>0.0217771635121123</v>
      </c>
      <c r="L6" s="41" t="n">
        <f aca="false">Externo!L12-Supuestos!$C$56*Externo!L45</f>
        <v>0.00481190341543085</v>
      </c>
      <c r="M6" s="41" t="n">
        <f aca="false">Externo!M12-Supuestos!$C$56*Externo!M45</f>
        <v>0.0167712494458403</v>
      </c>
    </row>
    <row r="7" customFormat="false" ht="15" hidden="false" customHeight="false" outlineLevel="0" collapsed="false">
      <c r="A7" s="8" t="s">
        <v>234</v>
      </c>
      <c r="B7" s="2" t="s">
        <v>49</v>
      </c>
      <c r="C7" s="40" t="n">
        <f aca="false">Supuestos!C7</f>
        <v>0.2</v>
      </c>
      <c r="D7" s="42" t="n">
        <f aca="false">Supuestos!D7+Supuestos!$C$57*Externo!D45</f>
        <v>0.18</v>
      </c>
      <c r="E7" s="41" t="n">
        <f aca="false">Supuestos!E7+Supuestos!$C$57*Externo!E45</f>
        <v>0.14</v>
      </c>
      <c r="F7" s="41" t="n">
        <f aca="false">Supuestos!F7+Supuestos!$C$57*Externo!F45</f>
        <v>0.09</v>
      </c>
      <c r="G7" s="41" t="n">
        <f aca="false">Supuestos!G7+Supuestos!$C$57*Externo!G45</f>
        <v>0.06</v>
      </c>
      <c r="H7" s="41" t="n">
        <f aca="false">Supuestos!H7+Supuestos!$C$57*Externo!H45</f>
        <v>0.05</v>
      </c>
      <c r="I7" s="41" t="n">
        <f aca="false">Supuestos!I7+Supuestos!$C$57*Externo!I45</f>
        <v>0.04</v>
      </c>
      <c r="J7" s="41" t="n">
        <f aca="false">Supuestos!J7+Supuestos!$C$57*Externo!J45</f>
        <v>0.04</v>
      </c>
      <c r="K7" s="41" t="n">
        <f aca="false">Supuestos!K7+Supuestos!$C$57*Externo!K45</f>
        <v>0.0607427882929591</v>
      </c>
      <c r="L7" s="41" t="n">
        <f aca="false">Supuestos!L7+Supuestos!$C$57*Externo!L45</f>
        <v>0.117293655281897</v>
      </c>
      <c r="M7" s="41" t="n">
        <f aca="false">Supuestos!M7+Supuestos!$C$57*Externo!M45</f>
        <v>0.0774291685138655</v>
      </c>
    </row>
    <row r="8" customFormat="false" ht="15" hidden="false" customHeight="false" outlineLevel="0" collapsed="false">
      <c r="A8" s="8" t="s">
        <v>235</v>
      </c>
      <c r="B8" s="2" t="s">
        <v>236</v>
      </c>
      <c r="C8" s="49" t="n">
        <f aca="false">Supuestos!$C$70</f>
        <v>382.8</v>
      </c>
      <c r="D8" s="50" t="n">
        <f aca="false">C8*(1+D6)*(1+D7)</f>
        <v>438.15288</v>
      </c>
      <c r="E8" s="51" t="n">
        <f aca="false">D8*(1+E6)*(1+E7)</f>
        <v>492.001868952</v>
      </c>
      <c r="F8" s="51" t="n">
        <f aca="false">E8*(1+F6)*(1+F7)</f>
        <v>538.963447343468</v>
      </c>
      <c r="G8" s="51" t="n">
        <f aca="false">F8*(1+G6)*(1+G7)</f>
        <v>582.727279267758</v>
      </c>
      <c r="H8" s="51" t="n">
        <f aca="false">G8*(1+H6)*(1+H7)</f>
        <v>627.160234311925</v>
      </c>
      <c r="I8" s="51" t="n">
        <f aca="false">H8*(1+I6)*(1+I7)</f>
        <v>670.509549707565</v>
      </c>
      <c r="J8" s="51" t="n">
        <f aca="false">I8*(1+J6)*(1+J7)</f>
        <v>716.855169783352</v>
      </c>
      <c r="K8" s="51" t="n">
        <f aca="false">J8*(1+K6)*(1+K7)</f>
        <v>776.958283901608</v>
      </c>
      <c r="L8" s="51" t="n">
        <f aca="false">K8*(1+L6)*(1+L7)</f>
        <v>872.267728957463</v>
      </c>
      <c r="M8" s="51" t="n">
        <f aca="false">L8*(1+M6)*(1+M7)</f>
        <v>955.568426426923</v>
      </c>
    </row>
    <row r="9" customFormat="false" ht="15" hidden="false" customHeight="false" outlineLevel="0" collapsed="false">
      <c r="A9" s="8" t="s">
        <v>237</v>
      </c>
      <c r="B9" s="2" t="s">
        <v>58</v>
      </c>
      <c r="C9" s="52" t="n">
        <f aca="false">Supuestos!C10</f>
        <v>6.96</v>
      </c>
      <c r="D9" s="52" t="n">
        <f aca="false">Supuestos!D10</f>
        <v>11.8</v>
      </c>
      <c r="E9" s="53" t="n">
        <f aca="false">D9*(1+Supuestos!E7)/(1+Supuestos!E8)*(1+Externo!E10)*(1+Externo!E45)</f>
        <v>12.755073313783</v>
      </c>
      <c r="F9" s="53" t="n">
        <f aca="false">E9*(1+Supuestos!F7)/(1+Supuestos!F8)*(1+Externo!F10)*(1+Externo!F45)</f>
        <v>13.318640580433</v>
      </c>
      <c r="G9" s="53" t="n">
        <f aca="false">F9*(1+Supuestos!G7)/(1+Supuestos!G8)*(1+Externo!G10)*(1+Externo!G45)</f>
        <v>13.6623474341216</v>
      </c>
      <c r="H9" s="53" t="n">
        <f aca="false">G9*(1+Supuestos!H7)/(1+Supuestos!H8)*(1+Externo!H10)*(1+Externo!H45)</f>
        <v>14.0229372490985</v>
      </c>
      <c r="I9" s="53" t="n">
        <f aca="false">H9*(1+Supuestos!I7)/(1+Supuestos!I8)*(1+Externo!I10)*(1+Externo!I45)</f>
        <v>14.2559674868645</v>
      </c>
      <c r="J9" s="53" t="n">
        <f aca="false">I9*(1+Supuestos!J7)/(1+Supuestos!J8)*(1+Externo!J10)*(1+Externo!J45)</f>
        <v>14.4928701723745</v>
      </c>
      <c r="K9" s="53" t="n">
        <f aca="false">J9*(1+Supuestos!K7)/(1+Supuestos!K8)*(1+Externo!K10)*(1+Externo!K45)</f>
        <v>15.3449460975315</v>
      </c>
      <c r="L9" s="53" t="n">
        <f aca="false">K9*(1+Supuestos!L7)/(1+Supuestos!L8)*(1+Externo!L10)*(1+Externo!L45)</f>
        <v>18.0114987754791</v>
      </c>
      <c r="M9" s="53" t="n">
        <f aca="false">L9*(1+Supuestos!M7)/(1+Supuestos!M8)*(1+Externo!M10)*(1+Externo!M45)</f>
        <v>19.6815268876207</v>
      </c>
    </row>
    <row r="10" customFormat="false" ht="15" hidden="false" customHeight="false" outlineLevel="0" collapsed="false">
      <c r="A10" s="8" t="s">
        <v>238</v>
      </c>
      <c r="B10" s="2" t="s">
        <v>58</v>
      </c>
      <c r="C10" s="54" t="n">
        <f aca="false">C9</f>
        <v>6.96</v>
      </c>
      <c r="D10" s="54" t="n">
        <f aca="false">(C9+D9)/2</f>
        <v>9.38</v>
      </c>
      <c r="E10" s="53" t="n">
        <f aca="false">(D9+E9)/2</f>
        <v>12.2775366568915</v>
      </c>
      <c r="F10" s="53" t="n">
        <f aca="false">(E9+F9)/2</f>
        <v>13.036856947108</v>
      </c>
      <c r="G10" s="53" t="n">
        <f aca="false">(F9+G9)/2</f>
        <v>13.4904940072773</v>
      </c>
      <c r="H10" s="53" t="n">
        <f aca="false">(G9+H9)/2</f>
        <v>13.84264234161</v>
      </c>
      <c r="I10" s="53" t="n">
        <f aca="false">(H9+I9)/2</f>
        <v>14.1394523679815</v>
      </c>
      <c r="J10" s="53" t="n">
        <f aca="false">(I9+J9)/2</f>
        <v>14.3744188296195</v>
      </c>
      <c r="K10" s="53" t="n">
        <f aca="false">(J9+K9)/2</f>
        <v>14.918908134953</v>
      </c>
      <c r="L10" s="53" t="n">
        <f aca="false">(K9+L9)/2</f>
        <v>16.6782224365053</v>
      </c>
      <c r="M10" s="53" t="n">
        <f aca="false">(L9+M9)/2</f>
        <v>18.8465128315499</v>
      </c>
    </row>
    <row r="11" customFormat="false" ht="15" hidden="false" customHeight="false" outlineLevel="0" collapsed="false">
      <c r="A11" s="8" t="s">
        <v>239</v>
      </c>
      <c r="B11" s="2" t="s">
        <v>80</v>
      </c>
      <c r="C11" s="47" t="n">
        <f aca="false">C8/C10</f>
        <v>55</v>
      </c>
      <c r="D11" s="47" t="n">
        <f aca="false">D8/D10</f>
        <v>46.71139445629</v>
      </c>
      <c r="E11" s="44" t="n">
        <f aca="false">E8/E10</f>
        <v>40.0733374048478</v>
      </c>
      <c r="F11" s="44" t="n">
        <f aca="false">F8/F10</f>
        <v>41.341517325081</v>
      </c>
      <c r="G11" s="44" t="n">
        <f aca="false">G8/G10</f>
        <v>43.1953995868061</v>
      </c>
      <c r="H11" s="44" t="n">
        <f aca="false">H8/H10</f>
        <v>45.3063959058397</v>
      </c>
      <c r="I11" s="44" t="n">
        <f aca="false">I8/I10</f>
        <v>47.4211823950071</v>
      </c>
      <c r="J11" s="44" t="n">
        <f aca="false">J8/J10</f>
        <v>49.8702019386148</v>
      </c>
      <c r="K11" s="44" t="n">
        <f aca="false">K8/K10</f>
        <v>52.0787631959004</v>
      </c>
      <c r="L11" s="44" t="n">
        <f aca="false">L8/L10</f>
        <v>52.2998018690676</v>
      </c>
      <c r="M11" s="44" t="n">
        <f aca="false">M8/M10</f>
        <v>50.702664995259</v>
      </c>
    </row>
    <row r="12" customFormat="false" ht="15" hidden="false" customHeight="false" outlineLevel="0" collapsed="false">
      <c r="A12" s="20" t="s">
        <v>240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customFormat="false" ht="15" hidden="false" customHeight="false" outlineLevel="0" collapsed="false">
      <c r="A13" s="8" t="s">
        <v>241</v>
      </c>
      <c r="B13" s="2" t="s">
        <v>236</v>
      </c>
      <c r="D13" s="50" t="n">
        <f aca="false">Supuestos!$C$50*Externo!D16*D10</f>
        <v>4.221</v>
      </c>
      <c r="E13" s="51" t="n">
        <f aca="false">Supuestos!$C$50*Externo!E16*E10</f>
        <v>5.44533305806452</v>
      </c>
      <c r="F13" s="51" t="n">
        <f aca="false">Supuestos!$C$50*Externo!F16*F10</f>
        <v>4.5430839089282</v>
      </c>
      <c r="G13" s="51" t="n">
        <f aca="false">Supuestos!$C$50*Externo!G16*G10</f>
        <v>4.01291645137357</v>
      </c>
      <c r="H13" s="51" t="n">
        <f aca="false">Supuestos!$C$50*Externo!H16*H10</f>
        <v>3.62354729891895</v>
      </c>
      <c r="I13" s="51" t="n">
        <f aca="false">Supuestos!$C$50*Externo!I16*I10</f>
        <v>3.47916783382118</v>
      </c>
      <c r="J13" s="51" t="n">
        <f aca="false">Supuestos!$C$50*Externo!J16*J10</f>
        <v>3.3247648820563</v>
      </c>
      <c r="K13" s="51" t="n">
        <f aca="false">Supuestos!$C$50*Externo!K16*K10</f>
        <v>3.24366158295716</v>
      </c>
      <c r="L13" s="51" t="n">
        <f aca="false">Supuestos!$C$50*Externo!L16*L10</f>
        <v>3.4086005735773</v>
      </c>
      <c r="M13" s="51" t="n">
        <f aca="false">Supuestos!$C$50*Externo!M16*M10</f>
        <v>3.62063886667726</v>
      </c>
    </row>
    <row r="14" customFormat="false" ht="15" hidden="false" customHeight="false" outlineLevel="0" collapsed="false">
      <c r="A14" s="8" t="s">
        <v>242</v>
      </c>
      <c r="B14" s="2" t="s">
        <v>236</v>
      </c>
      <c r="D14" s="50" t="n">
        <f aca="false">Supuestos!$C$51*(Externo!D14+Externo!D15)*D10</f>
        <v>5.23404</v>
      </c>
      <c r="E14" s="51" t="n">
        <f aca="false">Supuestos!$C$51*(Externo!E14+Externo!E15)*E10</f>
        <v>6.57126174573607</v>
      </c>
      <c r="F14" s="51" t="n">
        <f aca="false">Supuestos!$C$51*(Externo!F14+Externo!F15)*F10</f>
        <v>6.85035357099593</v>
      </c>
      <c r="G14" s="51" t="n">
        <f aca="false">Supuestos!$C$51*(Externo!G14+Externo!G15)*G10</f>
        <v>7.20820249538135</v>
      </c>
      <c r="H14" s="51" t="n">
        <f aca="false">Supuestos!$C$51*(Externo!H14+Externo!H15)*H10</f>
        <v>7.52118403952823</v>
      </c>
      <c r="I14" s="51" t="n">
        <f aca="false">Supuestos!$C$51*(Externo!I14+Externo!I15)*I10</f>
        <v>7.81226418098398</v>
      </c>
      <c r="J14" s="51" t="n">
        <f aca="false">Supuestos!$C$51*(Externo!J14+Externo!J15)*J10</f>
        <v>8.0764540809447</v>
      </c>
      <c r="K14" s="51" t="n">
        <f aca="false">Supuestos!$C$51*(Externo!K14+Externo!K15)*K10</f>
        <v>8.52437463578008</v>
      </c>
      <c r="L14" s="51" t="n">
        <f aca="false">Supuestos!$C$51*(Externo!L14+Externo!L15)*L10</f>
        <v>9.69123722017786</v>
      </c>
      <c r="M14" s="51" t="n">
        <f aca="false">Supuestos!$C$51*(Externo!M14+Externo!M15)*M10</f>
        <v>11.1371309413556</v>
      </c>
    </row>
    <row r="15" customFormat="false" ht="15" hidden="false" customHeight="false" outlineLevel="0" collapsed="false">
      <c r="A15" s="8" t="s">
        <v>243</v>
      </c>
      <c r="B15" s="2" t="s">
        <v>236</v>
      </c>
      <c r="D15" s="50" t="n">
        <f aca="false">Supuestos!D43*Externo!D20*D10</f>
        <v>3.9396</v>
      </c>
      <c r="E15" s="51" t="n">
        <f aca="false">(Supuestos!E43+Supuestos!$M$89)*Externo!E20*E10</f>
        <v>1.47330439882698</v>
      </c>
      <c r="F15" s="51" t="n">
        <f aca="false">(Supuestos!F43+Supuestos!$M$89)*Externo!F20*F10</f>
        <v>0</v>
      </c>
      <c r="G15" s="51" t="n">
        <f aca="false">(Supuestos!G43+Supuestos!$M$89)*Externo!G20*G10</f>
        <v>0</v>
      </c>
      <c r="H15" s="51" t="n">
        <f aca="false">(Supuestos!H43+Supuestos!$M$89)*Externo!H20*H10</f>
        <v>0</v>
      </c>
      <c r="I15" s="51" t="n">
        <f aca="false">(Supuestos!I43+Supuestos!$M$89)*Externo!I20*I10</f>
        <v>0</v>
      </c>
      <c r="J15" s="51" t="n">
        <f aca="false">(Supuestos!J43+Supuestos!$M$89)*Externo!J20*J10</f>
        <v>0</v>
      </c>
      <c r="K15" s="51" t="n">
        <f aca="false">(Supuestos!K43+Supuestos!$M$89)*Externo!K20*K10</f>
        <v>0</v>
      </c>
      <c r="L15" s="51" t="n">
        <f aca="false">(Supuestos!L43+Supuestos!$M$89)*Externo!L20*L10</f>
        <v>0</v>
      </c>
      <c r="M15" s="51" t="n">
        <f aca="false">(Supuestos!M43+Supuestos!$M$89)*Externo!M20*M10</f>
        <v>0</v>
      </c>
    </row>
    <row r="16" customFormat="false" ht="15" hidden="false" customHeight="false" outlineLevel="0" collapsed="false">
      <c r="A16" s="8" t="s">
        <v>244</v>
      </c>
      <c r="B16" s="2" t="s">
        <v>112</v>
      </c>
      <c r="C16" s="40" t="n">
        <f aca="false">Supuestos!C42</f>
        <v>-0.0715</v>
      </c>
      <c r="D16" s="40" t="n">
        <f aca="false">Supuestos!D42</f>
        <v>-0.0643</v>
      </c>
      <c r="E16" s="41" t="n">
        <f aca="false">Supuestos!E42+Supuestos!$G$89</f>
        <v>-0.0343</v>
      </c>
      <c r="F16" s="41" t="n">
        <f aca="false">Supuestos!F42+Supuestos!$G$89</f>
        <v>-0.0063</v>
      </c>
      <c r="G16" s="41" t="n">
        <f aca="false">Supuestos!G42+Supuestos!$G$89</f>
        <v>0.0077</v>
      </c>
      <c r="H16" s="41" t="n">
        <f aca="false">Supuestos!H42+Supuestos!$G$89</f>
        <v>0.007</v>
      </c>
      <c r="I16" s="41" t="n">
        <f aca="false">Supuestos!I42+Supuestos!$G$89</f>
        <v>0.0043</v>
      </c>
      <c r="J16" s="41" t="n">
        <f aca="false">Supuestos!J42+Supuestos!$G$89</f>
        <v>0.0041</v>
      </c>
      <c r="K16" s="41" t="n">
        <f aca="false">Supuestos!K42+Supuestos!$G$89</f>
        <v>0.0034</v>
      </c>
      <c r="L16" s="41" t="n">
        <f aca="false">Supuestos!L42+Supuestos!$G$89</f>
        <v>0.0019</v>
      </c>
      <c r="M16" s="41" t="n">
        <f aca="false">Supuestos!M42+Supuestos!$G$89</f>
        <v>0.0015</v>
      </c>
    </row>
    <row r="17" customFormat="false" ht="15" hidden="false" customHeight="false" outlineLevel="0" collapsed="false">
      <c r="A17" s="8" t="s">
        <v>245</v>
      </c>
      <c r="B17" s="2" t="s">
        <v>236</v>
      </c>
      <c r="C17" s="50" t="n">
        <f aca="false">Supuestos!$C$77*C8</f>
        <v>-29.8584</v>
      </c>
      <c r="D17" s="50" t="n">
        <f aca="false">D16*D8+D13+D14-D15</f>
        <v>-22.657790184</v>
      </c>
      <c r="E17" s="51" t="n">
        <f aca="false">E16*E8+E13+E14-E15</f>
        <v>-6.33237370007999</v>
      </c>
      <c r="F17" s="51" t="n">
        <f aca="false">F16*F8+F13+F14-F15</f>
        <v>7.99796776166028</v>
      </c>
      <c r="G17" s="51" t="n">
        <f aca="false">G16*G8+G13+G14-G15</f>
        <v>15.7081189971167</v>
      </c>
      <c r="H17" s="51" t="n">
        <f aca="false">H16*H8+H13+H14-H15</f>
        <v>15.5348529786306</v>
      </c>
      <c r="I17" s="51" t="n">
        <f aca="false">I16*I8+I13+I14-I15</f>
        <v>14.1746230785477</v>
      </c>
      <c r="J17" s="51" t="n">
        <f aca="false">J16*J8+J13+J14-J15</f>
        <v>14.3403251591127</v>
      </c>
      <c r="K17" s="51" t="n">
        <f aca="false">K16*K8+K13+K14-K15</f>
        <v>14.4096943840027</v>
      </c>
      <c r="L17" s="51" t="n">
        <f aca="false">L16*L8+L13+L14-L15</f>
        <v>14.7571464787743</v>
      </c>
      <c r="M17" s="51" t="n">
        <f aca="false">M16*M8+M13+M14-M15</f>
        <v>16.1911224476732</v>
      </c>
    </row>
    <row r="18" customFormat="false" ht="15" hidden="false" customHeight="false" outlineLevel="0" collapsed="false">
      <c r="A18" s="8" t="s">
        <v>246</v>
      </c>
      <c r="B18" s="2" t="s">
        <v>236</v>
      </c>
      <c r="D18" s="50" t="n">
        <f aca="false">Supuestos!D45*C25*D10</f>
        <v>6.642916</v>
      </c>
      <c r="E18" s="51" t="n">
        <f aca="false">Supuestos!E45*D25*E10</f>
        <v>9.45773025782991</v>
      </c>
      <c r="F18" s="51" t="n">
        <f aca="false">Supuestos!F45*E25*F10</f>
        <v>10.686676671539</v>
      </c>
      <c r="G18" s="51" t="n">
        <f aca="false">Supuestos!G45*F25*G10</f>
        <v>11.4794390846245</v>
      </c>
      <c r="H18" s="51" t="n">
        <f aca="false">Supuestos!H45*G25*H10</f>
        <v>12.1030097932552</v>
      </c>
      <c r="I18" s="51" t="n">
        <f aca="false">Supuestos!I45*H25*I10</f>
        <v>12.3625191099925</v>
      </c>
      <c r="J18" s="51" t="n">
        <f aca="false">Supuestos!J45*I25*J10</f>
        <v>12.7174508222916</v>
      </c>
      <c r="K18" s="51" t="n">
        <f aca="false">Supuestos!K45*J25*K10</f>
        <v>13.3543324010242</v>
      </c>
      <c r="L18" s="51" t="n">
        <f aca="false">Supuestos!L45*K25*L10</f>
        <v>15.0592340281488</v>
      </c>
      <c r="M18" s="51" t="n">
        <f aca="false">Supuestos!M45*L25*M10</f>
        <v>17.1640469380518</v>
      </c>
    </row>
    <row r="19" customFormat="false" ht="15" hidden="false" customHeight="false" outlineLevel="0" collapsed="false">
      <c r="A19" s="8" t="s">
        <v>247</v>
      </c>
      <c r="B19" s="2" t="s">
        <v>236</v>
      </c>
      <c r="D19" s="50" t="n">
        <f aca="false">Supuestos!D44*C28</f>
        <v>11.016</v>
      </c>
      <c r="E19" s="51" t="n">
        <f aca="false">Supuestos!E44*D28</f>
        <v>17.17428090196</v>
      </c>
      <c r="F19" s="51" t="n">
        <f aca="false">Supuestos!F44*E28</f>
        <v>21.5572933385542</v>
      </c>
      <c r="G19" s="51" t="n">
        <f aca="false">Supuestos!G44*F28</f>
        <v>22.8736200345643</v>
      </c>
      <c r="H19" s="51" t="n">
        <f aca="false">Supuestos!H44*G28</f>
        <v>22.2770262390922</v>
      </c>
      <c r="I19" s="51" t="n">
        <f aca="false">Supuestos!I44*H28</f>
        <v>21.9576236535956</v>
      </c>
      <c r="J19" s="51" t="n">
        <f aca="false">Supuestos!J44*I28</f>
        <v>23.1135634832491</v>
      </c>
      <c r="K19" s="51" t="n">
        <f aca="false">Supuestos!K44*J28</f>
        <v>24.3543881820982</v>
      </c>
      <c r="L19" s="51" t="n">
        <f aca="false">Supuestos!L44*K28</f>
        <v>25.8341354009956</v>
      </c>
      <c r="M19" s="51" t="n">
        <f aca="false">Supuestos!M44*L28</f>
        <v>27.7170290721469</v>
      </c>
    </row>
    <row r="20" customFormat="false" ht="15" hidden="false" customHeight="false" outlineLevel="0" collapsed="false">
      <c r="A20" s="3" t="s">
        <v>248</v>
      </c>
      <c r="B20" s="2" t="s">
        <v>236</v>
      </c>
      <c r="C20" s="55" t="n">
        <f aca="false">Supuestos!$C$75*C8</f>
        <v>-43.6392</v>
      </c>
      <c r="D20" s="55" t="n">
        <f aca="false">D17-D18-D19</f>
        <v>-40.316706184</v>
      </c>
      <c r="E20" s="56" t="n">
        <f aca="false">E17-E18-E19</f>
        <v>-32.9643848598699</v>
      </c>
      <c r="F20" s="56" t="n">
        <f aca="false">F17-F18-F19</f>
        <v>-24.2460022484329</v>
      </c>
      <c r="G20" s="56" t="n">
        <f aca="false">G17-G18-G19</f>
        <v>-18.6449401220721</v>
      </c>
      <c r="H20" s="56" t="n">
        <f aca="false">H17-H18-H19</f>
        <v>-18.8451830537168</v>
      </c>
      <c r="I20" s="56" t="n">
        <f aca="false">I17-I18-I19</f>
        <v>-20.1455196850404</v>
      </c>
      <c r="J20" s="56" t="n">
        <f aca="false">J17-J18-J19</f>
        <v>-21.490689146428</v>
      </c>
      <c r="K20" s="56" t="n">
        <f aca="false">K17-K18-K19</f>
        <v>-23.2990261991196</v>
      </c>
      <c r="L20" s="56" t="n">
        <f aca="false">L17-L18-L19</f>
        <v>-26.13622295037</v>
      </c>
      <c r="M20" s="56" t="n">
        <f aca="false">M17-M18-M19</f>
        <v>-28.6899535625254</v>
      </c>
    </row>
    <row r="21" customFormat="false" ht="15" hidden="false" customHeight="false" outlineLevel="0" collapsed="false">
      <c r="A21" s="8" t="s">
        <v>249</v>
      </c>
      <c r="B21" s="2" t="s">
        <v>236</v>
      </c>
      <c r="D21" s="50" t="n">
        <f aca="false">(Externo!D33-Externo!D34)*D10</f>
        <v>6.097</v>
      </c>
      <c r="E21" s="51" t="n">
        <f aca="false">(Externo!E33-Externo!E34)*E10</f>
        <v>11.6636598240469</v>
      </c>
      <c r="F21" s="51" t="n">
        <f aca="false">(Externo!F33-Externo!F34)*F10</f>
        <v>7.82211416826481</v>
      </c>
      <c r="G21" s="51" t="n">
        <f aca="false">(Externo!G33-Externo!G34)*G10</f>
        <v>6.0707223032748</v>
      </c>
      <c r="H21" s="51" t="n">
        <f aca="false">(Externo!H33-Externo!H34)*H10</f>
        <v>0</v>
      </c>
      <c r="I21" s="51" t="n">
        <f aca="false">(Externo!I33-Externo!I34)*I10</f>
        <v>2.8278904735963</v>
      </c>
      <c r="J21" s="51" t="n">
        <f aca="false">(Externo!J33-Externo!J34)*J10</f>
        <v>2.8748837659239</v>
      </c>
      <c r="K21" s="51" t="n">
        <f aca="false">(Externo!K33-Externo!K34)*K10</f>
        <v>2.23783622024295</v>
      </c>
      <c r="L21" s="51" t="n">
        <f aca="false">(Externo!L33-Externo!L34)*L10</f>
        <v>2.50173336547579</v>
      </c>
      <c r="M21" s="51" t="n">
        <f aca="false">(Externo!M33-Externo!M34)*M10</f>
        <v>1.88465128315499</v>
      </c>
    </row>
    <row r="22" customFormat="false" ht="15" hidden="false" customHeight="false" outlineLevel="0" collapsed="false">
      <c r="A22" s="8" t="s">
        <v>250</v>
      </c>
      <c r="B22" s="2" t="s">
        <v>236</v>
      </c>
      <c r="D22" s="57" t="n">
        <v>0</v>
      </c>
      <c r="E22" s="51" t="n">
        <f aca="false">Supuestos!$N$89*E8</f>
        <v>0</v>
      </c>
      <c r="F22" s="33" t="n">
        <v>0</v>
      </c>
      <c r="G22" s="33" t="n">
        <v>0</v>
      </c>
      <c r="H22" s="33" t="n">
        <v>0</v>
      </c>
      <c r="I22" s="33" t="n">
        <v>0</v>
      </c>
      <c r="J22" s="33" t="n">
        <v>0</v>
      </c>
      <c r="K22" s="33" t="n">
        <v>0</v>
      </c>
      <c r="L22" s="33" t="n">
        <v>0</v>
      </c>
      <c r="M22" s="33" t="n">
        <v>0</v>
      </c>
    </row>
    <row r="23" customFormat="false" ht="15" hidden="false" customHeight="false" outlineLevel="0" collapsed="false">
      <c r="A23" s="8" t="s">
        <v>251</v>
      </c>
      <c r="B23" s="2" t="s">
        <v>236</v>
      </c>
      <c r="D23" s="50" t="n">
        <f aca="false">-D20-D21+D22</f>
        <v>34.219706184</v>
      </c>
      <c r="E23" s="51" t="n">
        <f aca="false">-E20-E21+E22</f>
        <v>21.300725035823</v>
      </c>
      <c r="F23" s="51" t="n">
        <f aca="false">-F20-F21+F22</f>
        <v>16.423888080168</v>
      </c>
      <c r="G23" s="51" t="n">
        <f aca="false">-G20-G21+G22</f>
        <v>12.5742178187973</v>
      </c>
      <c r="H23" s="51" t="n">
        <f aca="false">-H20-H21+H22</f>
        <v>18.8451830537168</v>
      </c>
      <c r="I23" s="51" t="n">
        <f aca="false">-I20-I21+I22</f>
        <v>17.3176292114442</v>
      </c>
      <c r="J23" s="51" t="n">
        <f aca="false">-J20-J21+J22</f>
        <v>18.6158053805041</v>
      </c>
      <c r="K23" s="51" t="n">
        <f aca="false">-K20-K21+K22</f>
        <v>21.0611899788767</v>
      </c>
      <c r="L23" s="51" t="n">
        <f aca="false">-L20-L21+L22</f>
        <v>23.6344895848942</v>
      </c>
      <c r="M23" s="51" t="n">
        <f aca="false">-M20-M21+M22</f>
        <v>26.8053022793704</v>
      </c>
    </row>
    <row r="24" customFormat="false" ht="15" hidden="false" customHeight="false" outlineLevel="0" collapsed="false">
      <c r="A24" s="20" t="s">
        <v>252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customFormat="false" ht="15" hidden="false" customHeight="false" outlineLevel="0" collapsed="false">
      <c r="A25" s="8" t="s">
        <v>253</v>
      </c>
      <c r="B25" s="2" t="s">
        <v>80</v>
      </c>
      <c r="C25" s="43" t="n">
        <f aca="false">Supuestos!$C$71</f>
        <v>14.164</v>
      </c>
      <c r="D25" s="47" t="n">
        <f aca="false">C25+Externo!D33-Externo!D34</f>
        <v>14.814</v>
      </c>
      <c r="E25" s="44" t="n">
        <f aca="false">D25+Externo!E33-Externo!E34</f>
        <v>15.764</v>
      </c>
      <c r="F25" s="44" t="n">
        <f aca="false">E25+Externo!F33-Externo!F34</f>
        <v>16.364</v>
      </c>
      <c r="G25" s="44" t="n">
        <f aca="false">F25+Externo!G33-Externo!G34</f>
        <v>16.814</v>
      </c>
      <c r="H25" s="44" t="n">
        <f aca="false">G25+Externo!H33-Externo!H34</f>
        <v>16.814</v>
      </c>
      <c r="I25" s="44" t="n">
        <f aca="false">H25+Externo!I33-Externo!I34</f>
        <v>17.014</v>
      </c>
      <c r="J25" s="44" t="n">
        <f aca="false">I25+Externo!J33-Externo!J34</f>
        <v>17.214</v>
      </c>
      <c r="K25" s="44" t="n">
        <f aca="false">J25+Externo!K33-Externo!K34</f>
        <v>17.364</v>
      </c>
      <c r="L25" s="44" t="n">
        <f aca="false">K25+Externo!L33-Externo!L34</f>
        <v>17.514</v>
      </c>
      <c r="M25" s="44" t="n">
        <f aca="false">L25+Externo!M33-Externo!M34</f>
        <v>17.614</v>
      </c>
    </row>
    <row r="26" customFormat="false" ht="15" hidden="false" customHeight="false" outlineLevel="0" collapsed="false">
      <c r="A26" s="8" t="s">
        <v>254</v>
      </c>
      <c r="B26" s="2" t="s">
        <v>80</v>
      </c>
      <c r="C26" s="43" t="n">
        <f aca="false">Supuestos!C47</f>
        <v>2</v>
      </c>
      <c r="D26" s="43" t="n">
        <f aca="false">Supuestos!D47</f>
        <v>2</v>
      </c>
      <c r="E26" s="10" t="n">
        <f aca="false">Supuestos!E47</f>
        <v>2</v>
      </c>
      <c r="F26" s="10" t="n">
        <f aca="false">Supuestos!F47</f>
        <v>2</v>
      </c>
      <c r="G26" s="10" t="n">
        <f aca="false">Supuestos!G47</f>
        <v>2</v>
      </c>
      <c r="H26" s="10" t="n">
        <f aca="false">Supuestos!H47</f>
        <v>2</v>
      </c>
      <c r="I26" s="10" t="n">
        <f aca="false">Supuestos!I47</f>
        <v>2</v>
      </c>
      <c r="J26" s="10" t="n">
        <f aca="false">Supuestos!J47</f>
        <v>2</v>
      </c>
      <c r="K26" s="10" t="n">
        <f aca="false">Supuestos!K47</f>
        <v>2</v>
      </c>
      <c r="L26" s="10" t="n">
        <f aca="false">Supuestos!L47</f>
        <v>2</v>
      </c>
      <c r="M26" s="10" t="n">
        <f aca="false">Supuestos!M47</f>
        <v>2</v>
      </c>
    </row>
    <row r="27" customFormat="false" ht="15" hidden="false" customHeight="false" outlineLevel="0" collapsed="false">
      <c r="A27" s="8" t="s">
        <v>255</v>
      </c>
      <c r="B27" s="2" t="s">
        <v>236</v>
      </c>
      <c r="C27" s="49" t="n">
        <f aca="false">Supuestos!$C$72</f>
        <v>206.4</v>
      </c>
      <c r="D27" s="50" t="n">
        <f aca="false">C27+D23</f>
        <v>240.619706184</v>
      </c>
      <c r="E27" s="51" t="n">
        <f aca="false">D27+E23</f>
        <v>261.920431219823</v>
      </c>
      <c r="F27" s="51" t="n">
        <f aca="false">E27+F23</f>
        <v>278.344319299991</v>
      </c>
      <c r="G27" s="51" t="n">
        <f aca="false">F27+G23</f>
        <v>290.918537118788</v>
      </c>
      <c r="H27" s="51" t="n">
        <f aca="false">G27+H23</f>
        <v>309.763720172505</v>
      </c>
      <c r="I27" s="51" t="n">
        <f aca="false">H27+I23</f>
        <v>327.081349383949</v>
      </c>
      <c r="J27" s="51" t="n">
        <f aca="false">I27+J23</f>
        <v>345.697154764453</v>
      </c>
      <c r="K27" s="51" t="n">
        <f aca="false">J27+K23</f>
        <v>366.75834474333</v>
      </c>
      <c r="L27" s="51" t="n">
        <f aca="false">K27+L23</f>
        <v>390.392834328224</v>
      </c>
      <c r="M27" s="51" t="n">
        <f aca="false">L27+M23</f>
        <v>417.198136607595</v>
      </c>
    </row>
    <row r="28" customFormat="false" ht="15" hidden="false" customHeight="false" outlineLevel="0" collapsed="false">
      <c r="A28" s="8" t="s">
        <v>256</v>
      </c>
      <c r="B28" s="2" t="s">
        <v>236</v>
      </c>
      <c r="C28" s="50" t="n">
        <f aca="false">C27+C26*C9</f>
        <v>220.32</v>
      </c>
      <c r="D28" s="50" t="n">
        <f aca="false">D27+D26*D9</f>
        <v>264.219706184</v>
      </c>
      <c r="E28" s="51" t="n">
        <f aca="false">E27+E26*E9</f>
        <v>287.430577847389</v>
      </c>
      <c r="F28" s="51" t="n">
        <f aca="false">F27+F26*F9</f>
        <v>304.981600460857</v>
      </c>
      <c r="G28" s="51" t="n">
        <f aca="false">G27+G26*G9</f>
        <v>318.243231987032</v>
      </c>
      <c r="H28" s="51" t="n">
        <f aca="false">H27+H26*H9</f>
        <v>337.809594670702</v>
      </c>
      <c r="I28" s="51" t="n">
        <f aca="false">I27+I26*I9</f>
        <v>355.593284357678</v>
      </c>
      <c r="J28" s="51" t="n">
        <f aca="false">J27+J26*J9</f>
        <v>374.682895109202</v>
      </c>
      <c r="K28" s="51" t="n">
        <f aca="false">K27+K26*K9</f>
        <v>397.448236938393</v>
      </c>
      <c r="L28" s="51" t="n">
        <f aca="false">L27+L26*L9</f>
        <v>426.415831879183</v>
      </c>
      <c r="M28" s="51" t="n">
        <f aca="false">M27+M26*M9</f>
        <v>456.561190382836</v>
      </c>
    </row>
    <row r="29" customFormat="false" ht="15" hidden="false" customHeight="false" outlineLevel="0" collapsed="false">
      <c r="A29" s="8" t="s">
        <v>257</v>
      </c>
      <c r="B29" s="2" t="s">
        <v>236</v>
      </c>
      <c r="C29" s="50" t="n">
        <f aca="false">C25*C9+C28</f>
        <v>318.90144</v>
      </c>
      <c r="D29" s="50" t="n">
        <f aca="false">D25*D9+D28</f>
        <v>439.024906184</v>
      </c>
      <c r="E29" s="51" t="n">
        <f aca="false">E25*E9+E28</f>
        <v>488.501553565864</v>
      </c>
      <c r="F29" s="51" t="n">
        <f aca="false">F25*F9+F28</f>
        <v>522.927834919063</v>
      </c>
      <c r="G29" s="51" t="n">
        <f aca="false">G25*G9+G28</f>
        <v>547.961941744353</v>
      </c>
      <c r="H29" s="51" t="n">
        <f aca="false">H25*H9+H28</f>
        <v>573.591261577044</v>
      </c>
      <c r="I29" s="51" t="n">
        <f aca="false">I25*I9+I28</f>
        <v>598.144315179191</v>
      </c>
      <c r="J29" s="51" t="n">
        <f aca="false">J25*J9+J28</f>
        <v>624.163162256457</v>
      </c>
      <c r="K29" s="51" t="n">
        <f aca="false">K25*K9+K28</f>
        <v>663.89788097593</v>
      </c>
      <c r="L29" s="51" t="n">
        <f aca="false">L25*L9+L28</f>
        <v>741.869221432923</v>
      </c>
      <c r="M29" s="51" t="n">
        <f aca="false">M25*M9+M28</f>
        <v>803.231604981387</v>
      </c>
    </row>
    <row r="30" customFormat="false" ht="15" hidden="false" customHeight="false" outlineLevel="0" collapsed="false">
      <c r="A30" s="3" t="s">
        <v>12</v>
      </c>
      <c r="B30" s="2" t="s">
        <v>112</v>
      </c>
      <c r="C30" s="58" t="n">
        <f aca="false">C29/C8</f>
        <v>0.833075862068965</v>
      </c>
      <c r="D30" s="58" t="n">
        <f aca="false">D29/D8</f>
        <v>1.00199023268773</v>
      </c>
      <c r="E30" s="59" t="n">
        <f aca="false">E29/E8</f>
        <v>0.99288556485854</v>
      </c>
      <c r="F30" s="59" t="n">
        <f aca="false">F29/F8</f>
        <v>0.970247309899319</v>
      </c>
      <c r="G30" s="59" t="n">
        <f aca="false">G29/G8</f>
        <v>0.940340295091229</v>
      </c>
      <c r="H30" s="59" t="n">
        <f aca="false">H29/H8</f>
        <v>0.914584870334368</v>
      </c>
      <c r="I30" s="59" t="n">
        <f aca="false">I29/I8</f>
        <v>0.89207426716005</v>
      </c>
      <c r="J30" s="59" t="n">
        <f aca="false">J29/J8</f>
        <v>0.870696325514527</v>
      </c>
      <c r="K30" s="59" t="n">
        <f aca="false">K29/K8</f>
        <v>0.854483303327523</v>
      </c>
      <c r="L30" s="59" t="n">
        <f aca="false">L29/L8</f>
        <v>0.850506325987329</v>
      </c>
      <c r="M30" s="59" t="n">
        <f aca="false">M29/M8</f>
        <v>0.840579892310637</v>
      </c>
    </row>
    <row r="31" customFormat="false" ht="15" hidden="false" customHeight="false" outlineLevel="0" collapsed="false">
      <c r="A31" s="8" t="s">
        <v>258</v>
      </c>
      <c r="B31" s="2" t="s">
        <v>49</v>
      </c>
      <c r="C31" s="42" t="n">
        <f aca="false">(C25+C26)*C9/C29</f>
        <v>0.352778087173266</v>
      </c>
      <c r="D31" s="42" t="n">
        <f aca="false">(D25+D26)*D9/D29</f>
        <v>0.451922424457728</v>
      </c>
      <c r="E31" s="41" t="n">
        <f aca="false">(E25+E26)*E9/E29</f>
        <v>0.463828867466419</v>
      </c>
      <c r="F31" s="41" t="n">
        <f aca="false">(F25+F26)*F9/F29</f>
        <v>0.467719442888191</v>
      </c>
      <c r="G31" s="41" t="n">
        <f aca="false">(G25+G26)*G9/G29</f>
        <v>0.469089885708679</v>
      </c>
      <c r="H31" s="41" t="n">
        <f aca="false">(H25+H26)*H9/H29</f>
        <v>0.459957393142925</v>
      </c>
      <c r="I31" s="41" t="n">
        <f aca="false">(I25+I26)*I9/I29</f>
        <v>0.453173187333624</v>
      </c>
      <c r="J31" s="41" t="n">
        <f aca="false">(J25+J26)*J9/J29</f>
        <v>0.446142970830417</v>
      </c>
      <c r="K31" s="41" t="n">
        <f aca="false">(K25+K26)*K9/K29</f>
        <v>0.447568134719461</v>
      </c>
      <c r="L31" s="41" t="n">
        <f aca="false">(L25+L26)*L9/L29</f>
        <v>0.473771356123685</v>
      </c>
      <c r="M31" s="41" t="n">
        <f aca="false">(M25+M26)*M9/M29</f>
        <v>0.480600446969138</v>
      </c>
    </row>
    <row r="32" customFormat="false" ht="15" hidden="false" customHeight="false" outlineLevel="0" collapsed="false">
      <c r="A32" s="8" t="s">
        <v>259</v>
      </c>
      <c r="B32" s="2" t="s">
        <v>236</v>
      </c>
      <c r="D32" s="50" t="n">
        <f aca="false">D29-Supuestos!D46*D27</f>
        <v>306.6840677828</v>
      </c>
      <c r="E32" s="51" t="n">
        <f aca="false">E29-Supuestos!E46*E27</f>
        <v>349.683725019358</v>
      </c>
      <c r="F32" s="51" t="n">
        <f aca="false">F29-Supuestos!F46*F27</f>
        <v>380.972232076068</v>
      </c>
      <c r="G32" s="51" t="n">
        <f aca="false">G29-Supuestos!G46*G27</f>
        <v>405.411858556146</v>
      </c>
      <c r="H32" s="51" t="n">
        <f aca="false">H29-Supuestos!H46*H27</f>
        <v>428.002313095966</v>
      </c>
      <c r="I32" s="51" t="n">
        <f aca="false">I29-Supuestos!I46*I27</f>
        <v>450.957707956414</v>
      </c>
      <c r="J32" s="51" t="n">
        <f aca="false">J29-Supuestos!J46*J27</f>
        <v>475.513385707742</v>
      </c>
      <c r="K32" s="51" t="n">
        <f aca="false">K29-Supuestos!K46*K27</f>
        <v>513.526959631164</v>
      </c>
      <c r="L32" s="51" t="n">
        <f aca="false">L29-Supuestos!L46*L27</f>
        <v>589.616016044915</v>
      </c>
      <c r="M32" s="51" t="n">
        <f aca="false">M29-Supuestos!M46*M27</f>
        <v>648.868294436577</v>
      </c>
    </row>
    <row r="33" customFormat="false" ht="15" hidden="false" customHeight="false" outlineLevel="0" collapsed="false">
      <c r="A33" s="8" t="s">
        <v>13</v>
      </c>
      <c r="B33" s="2" t="s">
        <v>112</v>
      </c>
      <c r="D33" s="42" t="n">
        <f aca="false">D32/D8</f>
        <v>0.699947625091042</v>
      </c>
      <c r="E33" s="41" t="n">
        <f aca="false">E32/E8</f>
        <v>0.710736578631723</v>
      </c>
      <c r="F33" s="41" t="n">
        <f aca="false">F32/F8</f>
        <v>0.706860982788103</v>
      </c>
      <c r="G33" s="41" t="n">
        <f aca="false">G32/G8</f>
        <v>0.695714570056816</v>
      </c>
      <c r="H33" s="41" t="n">
        <f aca="false">H32/H8</f>
        <v>0.682444915477684</v>
      </c>
      <c r="I33" s="41" t="n">
        <f aca="false">I32/I8</f>
        <v>0.67255970948228</v>
      </c>
      <c r="J33" s="41" t="n">
        <f aca="false">J32/J8</f>
        <v>0.663332575046437</v>
      </c>
      <c r="K33" s="41" t="n">
        <f aca="false">K32/K8</f>
        <v>0.66094534323312</v>
      </c>
      <c r="L33" s="41" t="n">
        <f aca="false">L32/L8</f>
        <v>0.675957617679639</v>
      </c>
      <c r="M33" s="41" t="n">
        <f aca="false">M32/M8</f>
        <v>0.679039068780073</v>
      </c>
    </row>
    <row r="34" customFormat="false" ht="15" hidden="false" customHeight="false" outlineLevel="0" collapsed="false">
      <c r="A34" s="8" t="s">
        <v>260</v>
      </c>
      <c r="B34" s="2" t="s">
        <v>236</v>
      </c>
      <c r="D34" s="50" t="n">
        <f aca="false">C28/Supuestos!$C$67</f>
        <v>44.064</v>
      </c>
      <c r="E34" s="51" t="n">
        <f aca="false">D28/Supuestos!$C$67</f>
        <v>52.8439412368</v>
      </c>
      <c r="F34" s="51" t="n">
        <f aca="false">E28/Supuestos!$C$67</f>
        <v>57.4861155694778</v>
      </c>
      <c r="G34" s="51" t="n">
        <f aca="false">F28/Supuestos!$C$67</f>
        <v>60.9963200921714</v>
      </c>
      <c r="H34" s="51" t="n">
        <f aca="false">G28/Supuestos!$C$67</f>
        <v>63.6486463974063</v>
      </c>
      <c r="I34" s="51" t="n">
        <f aca="false">H28/Supuestos!$C$67</f>
        <v>67.5619189341404</v>
      </c>
      <c r="J34" s="51" t="n">
        <f aca="false">I28/Supuestos!$C$67</f>
        <v>71.1186568715357</v>
      </c>
      <c r="K34" s="51" t="n">
        <f aca="false">J28/Supuestos!$C$67</f>
        <v>74.9365790218405</v>
      </c>
      <c r="L34" s="51" t="n">
        <f aca="false">K28/Supuestos!$C$67</f>
        <v>79.4896473876786</v>
      </c>
      <c r="M34" s="51" t="n">
        <f aca="false">L28/Supuestos!$C$67</f>
        <v>85.2831663758365</v>
      </c>
    </row>
    <row r="35" customFormat="false" ht="15" hidden="false" customHeight="false" outlineLevel="0" collapsed="false">
      <c r="A35" s="8" t="s">
        <v>261</v>
      </c>
      <c r="B35" s="2" t="s">
        <v>236</v>
      </c>
      <c r="D35" s="50" t="n">
        <f aca="false">-D20+D34+Externo!D34*D10</f>
        <v>93.291706184</v>
      </c>
      <c r="E35" s="51" t="n">
        <f aca="false">-E20+E34+Externo!E34*E10</f>
        <v>98.699739586406</v>
      </c>
      <c r="F35" s="51" t="n">
        <f aca="false">-F20+F34+Externo!F34*F10</f>
        <v>96.0726604597295</v>
      </c>
      <c r="G35" s="51" t="n">
        <f aca="false">-G20+G34+Externo!G34*G10</f>
        <v>93.8062789218847</v>
      </c>
      <c r="H35" s="51" t="n">
        <f aca="false">-H20+H34+Externo!H34*H10</f>
        <v>100.489264495216</v>
      </c>
      <c r="I35" s="51" t="n">
        <f aca="false">-I20+I34+Externo!I34*I10</f>
        <v>103.260836223961</v>
      </c>
      <c r="J35" s="51" t="n">
        <f aca="false">-J20+J34+Externo!J34*J10</f>
        <v>108.421206730545</v>
      </c>
      <c r="K35" s="51" t="n">
        <f aca="false">-K20+K34+Externo!K34*K10</f>
        <v>115.392349576156</v>
      </c>
      <c r="L35" s="51" t="n">
        <f aca="false">-L20+L34+Externo!L34*L10</f>
        <v>124.80582614003</v>
      </c>
      <c r="M35" s="51" t="n">
        <f aca="false">-M20+M34+Externo!M34*M10</f>
        <v>136.588935336222</v>
      </c>
    </row>
    <row r="36" customFormat="false" ht="15" hidden="false" customHeight="false" outlineLevel="0" collapsed="false">
      <c r="A36" s="8" t="s">
        <v>14</v>
      </c>
      <c r="B36" s="2" t="s">
        <v>112</v>
      </c>
      <c r="D36" s="42" t="n">
        <f aca="false">D35/D8</f>
        <v>0.212920444991712</v>
      </c>
      <c r="E36" s="41" t="n">
        <f aca="false">E35/E8</f>
        <v>0.200608464753688</v>
      </c>
      <c r="F36" s="41" t="n">
        <f aca="false">F35/F8</f>
        <v>0.178254501178639</v>
      </c>
      <c r="G36" s="41" t="n">
        <f aca="false">G35/G8</f>
        <v>0.1609780119437</v>
      </c>
      <c r="H36" s="41" t="n">
        <f aca="false">H35/H8</f>
        <v>0.160229011658346</v>
      </c>
      <c r="I36" s="41" t="n">
        <f aca="false">I35/I8</f>
        <v>0.154003528016859</v>
      </c>
      <c r="J36" s="41" t="n">
        <f aca="false">J35/J8</f>
        <v>0.151245622966369</v>
      </c>
      <c r="K36" s="41" t="n">
        <f aca="false">K35/K8</f>
        <v>0.148518076152939</v>
      </c>
      <c r="L36" s="41" t="n">
        <f aca="false">L35/L8</f>
        <v>0.143082017133889</v>
      </c>
      <c r="M36" s="41" t="n">
        <f aca="false">M35/M8</f>
        <v>0.142939983740314</v>
      </c>
    </row>
    <row r="37" customFormat="false" ht="15" hidden="false" customHeight="false" outlineLevel="0" collapsed="false">
      <c r="A37" s="8" t="s">
        <v>15</v>
      </c>
      <c r="B37" s="2" t="s">
        <v>112</v>
      </c>
      <c r="C37" s="42" t="n">
        <f aca="false">C20/C8</f>
        <v>-0.114</v>
      </c>
      <c r="D37" s="42" t="n">
        <f aca="false">D20/D8</f>
        <v>-0.0920151573213441</v>
      </c>
      <c r="E37" s="41" t="n">
        <f aca="false">E20/E8</f>
        <v>-0.0670005277217472</v>
      </c>
      <c r="F37" s="41" t="n">
        <f aca="false">F20/F8</f>
        <v>-0.044986357364197</v>
      </c>
      <c r="G37" s="41" t="n">
        <f aca="false">G20/G8</f>
        <v>-0.0319959967302388</v>
      </c>
      <c r="H37" s="41" t="n">
        <f aca="false">H20/H8</f>
        <v>-0.0300484342321104</v>
      </c>
      <c r="I37" s="41" t="n">
        <f aca="false">I20/I8</f>
        <v>-0.0300450898780289</v>
      </c>
      <c r="J37" s="41" t="n">
        <f aca="false">J20/J8</f>
        <v>-0.0299791227744411</v>
      </c>
      <c r="K37" s="41" t="n">
        <f aca="false">K20/K8</f>
        <v>-0.0299874866924904</v>
      </c>
      <c r="L37" s="41" t="n">
        <f aca="false">L20/L8</f>
        <v>-0.0299635330790102</v>
      </c>
      <c r="M37" s="41" t="n">
        <f aca="false">M20/M8</f>
        <v>-0.0300239655989926</v>
      </c>
    </row>
    <row r="38" customFormat="false" ht="15" hidden="false" customHeight="false" outlineLevel="0" collapsed="false">
      <c r="A38" s="8" t="s">
        <v>262</v>
      </c>
      <c r="B38" s="2" t="s">
        <v>112</v>
      </c>
      <c r="C38" s="42" t="n">
        <f aca="false">C17/C8</f>
        <v>-0.078</v>
      </c>
      <c r="D38" s="42" t="n">
        <f aca="false">D17/D8</f>
        <v>-0.0517120649395252</v>
      </c>
      <c r="E38" s="41" t="n">
        <f aca="false">E17/E8</f>
        <v>-0.0128706293607551</v>
      </c>
      <c r="F38" s="41" t="n">
        <f aca="false">F17/F8</f>
        <v>0.0148395365234544</v>
      </c>
      <c r="G38" s="41" t="n">
        <f aca="false">G17/G8</f>
        <v>0.0269562101449157</v>
      </c>
      <c r="H38" s="41" t="n">
        <f aca="false">H17/H8</f>
        <v>0.0247701498416499</v>
      </c>
      <c r="I38" s="41" t="n">
        <f aca="false">I17/I8</f>
        <v>0.0211400763564513</v>
      </c>
      <c r="J38" s="41" t="n">
        <f aca="false">J17/J8</f>
        <v>0.0200044943017523</v>
      </c>
      <c r="K38" s="41" t="n">
        <f aca="false">K17/K8</f>
        <v>0.0185462909432439</v>
      </c>
      <c r="L38" s="41" t="n">
        <f aca="false">L17/L8</f>
        <v>0.0169181387650465</v>
      </c>
      <c r="M38" s="41" t="n">
        <f aca="false">M17/M8</f>
        <v>0.0169439696832757</v>
      </c>
    </row>
    <row r="39" customFormat="false" ht="15" hidden="false" customHeight="false" outlineLevel="0" collapsed="false">
      <c r="A39" s="20" t="s">
        <v>263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customFormat="false" ht="15" hidden="false" customHeight="false" outlineLevel="0" collapsed="false">
      <c r="A40" s="8" t="s">
        <v>264</v>
      </c>
      <c r="B40" s="2" t="s">
        <v>265</v>
      </c>
      <c r="D40" s="42" t="n">
        <f aca="false">-D17/D8</f>
        <v>0.0517120649395252</v>
      </c>
      <c r="E40" s="41" t="n">
        <f aca="false">-E17/E8</f>
        <v>0.0128706293607551</v>
      </c>
      <c r="F40" s="41" t="n">
        <f aca="false">-F17/F8</f>
        <v>-0.0148395365234544</v>
      </c>
      <c r="G40" s="41" t="n">
        <f aca="false">-G17/G8</f>
        <v>-0.0269562101449157</v>
      </c>
      <c r="H40" s="41" t="n">
        <f aca="false">-H17/H8</f>
        <v>-0.0247701498416499</v>
      </c>
      <c r="I40" s="41" t="n">
        <f aca="false">-I17/I8</f>
        <v>-0.0211400763564513</v>
      </c>
      <c r="J40" s="41" t="n">
        <f aca="false">-J17/J8</f>
        <v>-0.0200044943017523</v>
      </c>
      <c r="K40" s="41" t="n">
        <f aca="false">-K17/K8</f>
        <v>-0.0185462909432439</v>
      </c>
      <c r="L40" s="41" t="n">
        <f aca="false">-L17/L8</f>
        <v>-0.0169181387650465</v>
      </c>
      <c r="M40" s="41" t="n">
        <f aca="false">-M17/M8</f>
        <v>-0.0169439696832757</v>
      </c>
    </row>
    <row r="41" customFormat="false" ht="15" hidden="false" customHeight="false" outlineLevel="0" collapsed="false">
      <c r="A41" s="8" t="s">
        <v>266</v>
      </c>
      <c r="B41" s="2" t="s">
        <v>265</v>
      </c>
      <c r="D41" s="42" t="n">
        <f aca="false">(D18+D19)/D8</f>
        <v>0.0403030923818189</v>
      </c>
      <c r="E41" s="41" t="n">
        <f aca="false">(E18+E19)/E8</f>
        <v>0.0541298983609921</v>
      </c>
      <c r="F41" s="41" t="n">
        <f aca="false">(F18+F19)/F8</f>
        <v>0.0598258938876514</v>
      </c>
      <c r="G41" s="41" t="n">
        <f aca="false">(G18+G19)/G8</f>
        <v>0.0589522068751545</v>
      </c>
      <c r="H41" s="41" t="n">
        <f aca="false">(H18+H19)/H8</f>
        <v>0.0548185840737603</v>
      </c>
      <c r="I41" s="41" t="n">
        <f aca="false">(I18+I19)/I8</f>
        <v>0.0511851662344802</v>
      </c>
      <c r="J41" s="41" t="n">
        <f aca="false">(J18+J19)/J8</f>
        <v>0.0499836170761934</v>
      </c>
      <c r="K41" s="41" t="n">
        <f aca="false">(K18+K19)/K8</f>
        <v>0.0485337776357343</v>
      </c>
      <c r="L41" s="41" t="n">
        <f aca="false">(L18+L19)/L8</f>
        <v>0.0468816718440567</v>
      </c>
      <c r="M41" s="41" t="n">
        <f aca="false">(M18+M19)/M8</f>
        <v>0.0469679352822682</v>
      </c>
    </row>
    <row r="42" customFormat="false" ht="15" hidden="false" customHeight="false" outlineLevel="0" collapsed="false">
      <c r="A42" s="8" t="s">
        <v>233</v>
      </c>
      <c r="B42" s="2" t="s">
        <v>265</v>
      </c>
      <c r="D42" s="42" t="n">
        <f aca="false">-C30*D6/((1+D6)*(1+D7))</f>
        <v>0.0218349430910964</v>
      </c>
      <c r="E42" s="41" t="n">
        <f aca="false">-D30*E6/((1+E6)*(1+E7))</f>
        <v>0.0133848548315219</v>
      </c>
      <c r="F42" s="41" t="n">
        <f aca="false">-E30*F6/((1+F6)*(1+F7))</f>
        <v>-0.00453186163156027</v>
      </c>
      <c r="G42" s="41" t="n">
        <f aca="false">-F30*G6/((1+G6)*(1+G7))</f>
        <v>-0.0179476009970277</v>
      </c>
      <c r="H42" s="41" t="n">
        <f aca="false">-G30*H6/((1+H6)*(1+H7))</f>
        <v>-0.021842980141492</v>
      </c>
      <c r="I42" s="41" t="n">
        <f aca="false">-H30*I6/((1+I6)*(1+I7))</f>
        <v>-0.023952761494839</v>
      </c>
      <c r="J42" s="41" t="n">
        <f aca="false">-I30*J6/((1+J6)*(1+J7))</f>
        <v>-0.0233632141204742</v>
      </c>
      <c r="K42" s="41" t="n">
        <f aca="false">-J30*K6/((1+K6)*(1+K7))</f>
        <v>-0.017494508423849</v>
      </c>
      <c r="L42" s="41" t="n">
        <f aca="false">-K30*L6/((1+L6)*(1+L7))</f>
        <v>-0.00366242195476335</v>
      </c>
      <c r="M42" s="41" t="n">
        <f aca="false">-L30*M6/((1+M6)*(1+M7))</f>
        <v>-0.0130205994931902</v>
      </c>
    </row>
    <row r="43" customFormat="false" ht="15" hidden="false" customHeight="false" outlineLevel="0" collapsed="false">
      <c r="A43" s="8" t="s">
        <v>267</v>
      </c>
      <c r="B43" s="2" t="s">
        <v>265</v>
      </c>
      <c r="D43" s="42" t="n">
        <f aca="false">-C30*D7*(1+D6)/((1+D6)*(1+D7))</f>
        <v>-0.127079368790181</v>
      </c>
      <c r="E43" s="41" t="n">
        <f aca="false">-D30*E7*(1+E6)/((1+E6)*(1+E7))</f>
        <v>-0.123051432084458</v>
      </c>
      <c r="F43" s="41" t="n">
        <f aca="false">-E30*F7*(1+F6)/((1+F6)*(1+F7))</f>
        <v>-0.0819813769149253</v>
      </c>
      <c r="G43" s="41" t="n">
        <f aca="false">-F30*G7*(1+G6)/((1+G6)*(1+G7))</f>
        <v>-0.0549196590509048</v>
      </c>
      <c r="H43" s="41" t="n">
        <f aca="false">-G30*H7*(1+H6)/((1+H6)*(1+H7))</f>
        <v>-0.0447781092900585</v>
      </c>
      <c r="I43" s="41" t="n">
        <f aca="false">-H30*I7*(1+I6)/((1+I6)*(1+I7))</f>
        <v>-0.0351763411667065</v>
      </c>
      <c r="J43" s="41" t="n">
        <f aca="false">-I30*J7*(1+J6)/((1+J6)*(1+J7))</f>
        <v>-0.034310548736925</v>
      </c>
      <c r="K43" s="41" t="n">
        <f aca="false">-J30*K7*(1+K6)/((1+K6)*(1+K7))</f>
        <v>-0.0498598936065351</v>
      </c>
      <c r="L43" s="41" t="n">
        <f aca="false">-K30*L7*(1+L6)/((1+L6)*(1+L7))</f>
        <v>-0.0897037851694844</v>
      </c>
      <c r="M43" s="41" t="n">
        <f aca="false">-L30*M7*(1+M6)/((1+M6)*(1+M7))</f>
        <v>-0.0611214171302009</v>
      </c>
    </row>
    <row r="44" customFormat="false" ht="15" hidden="false" customHeight="false" outlineLevel="0" collapsed="false">
      <c r="A44" s="8" t="s">
        <v>268</v>
      </c>
      <c r="B44" s="2" t="s">
        <v>265</v>
      </c>
      <c r="D44" s="42" t="n">
        <f aca="false">((C25+C26)*(D9-C9)+(Externo!D33-Externo!D34)*(D9-D10)+(D26-C26)*D9)/D8</f>
        <v>0.182143638996507</v>
      </c>
      <c r="E44" s="41" t="n">
        <f aca="false">((D25+D26)*(E9-D9)+(Externo!E33-Externo!E34)*(E9-E10)+(E26-D26)*E9)/E8</f>
        <v>0.0335613817019974</v>
      </c>
      <c r="F44" s="41" t="n">
        <f aca="false">((E25+E26)*(F9-E9)+(Externo!F33-Externo!F34)*(F9-F10)+(F26-E26)*F9)/F8</f>
        <v>0.0188886262230669</v>
      </c>
      <c r="G44" s="41" t="n">
        <f aca="false">((F25+F26)*(G9-F9)+(Externo!G33-Externo!G34)*(G9-G10)+(G26-F26)*G9)/G8</f>
        <v>0.0109642485096044</v>
      </c>
      <c r="H44" s="41" t="n">
        <f aca="false">((G25+G26)*(H9-G9)+(Externo!H33-Externo!H34)*(H9-H10)+(H26-G26)*H9)/H8</f>
        <v>0.0108172304425789</v>
      </c>
      <c r="I44" s="41" t="n">
        <f aca="false">((H25+H26)*(I9-H9)+(Externo!I33-Externo!I34)*(I9-I10)+(I26-H26)*I9)/I8</f>
        <v>0.00657340960919865</v>
      </c>
      <c r="J44" s="41" t="n">
        <f aca="false">((I25+I26)*(J9-I9)+(Externo!J33-Externo!J34)*(J9-J10)+(J26-I26)*J9)/J8</f>
        <v>0.0063166984374348</v>
      </c>
      <c r="K44" s="41" t="n">
        <f aca="false">((J25+J26)*(K9-J9)+(Externo!K33-Externo!K34)*(K9-K10)+(K26-J26)*K9)/K8</f>
        <v>0.0211538931508899</v>
      </c>
      <c r="L44" s="41" t="n">
        <f aca="false">((K25+K26)*(L9-K9)+(Externo!L33-Externo!L34)*(L9-L10)+(L26-K26)*L9)/L8</f>
        <v>0.0594256967050431</v>
      </c>
      <c r="M44" s="41" t="n">
        <f aca="false">((L25+L26)*(M9-L9)+(Externo!M33-Externo!M34)*(M9-M10)+(M26-L26)*M9)/M8</f>
        <v>0.0341916173477062</v>
      </c>
    </row>
    <row r="45" customFormat="false" ht="15" hidden="false" customHeight="false" outlineLevel="0" collapsed="false">
      <c r="A45" s="8" t="s">
        <v>269</v>
      </c>
      <c r="B45" s="2" t="s">
        <v>265</v>
      </c>
      <c r="D45" s="42" t="n">
        <f aca="false">D22/D8</f>
        <v>0</v>
      </c>
      <c r="E45" s="41" t="n">
        <f aca="false">E22/E8</f>
        <v>0</v>
      </c>
      <c r="F45" s="41" t="n">
        <f aca="false">F22/F8</f>
        <v>0</v>
      </c>
      <c r="G45" s="41" t="n">
        <f aca="false">G22/G8</f>
        <v>0</v>
      </c>
      <c r="H45" s="41" t="n">
        <f aca="false">H22/H8</f>
        <v>0</v>
      </c>
      <c r="I45" s="41" t="n">
        <f aca="false">I22/I8</f>
        <v>0</v>
      </c>
      <c r="J45" s="41" t="n">
        <f aca="false">J22/J8</f>
        <v>0</v>
      </c>
      <c r="K45" s="41" t="n">
        <f aca="false">K22/K8</f>
        <v>0</v>
      </c>
      <c r="L45" s="41" t="n">
        <f aca="false">L22/L8</f>
        <v>0</v>
      </c>
      <c r="M45" s="41" t="n">
        <f aca="false">M22/M8</f>
        <v>0</v>
      </c>
    </row>
    <row r="46" customFormat="false" ht="15" hidden="false" customHeight="false" outlineLevel="0" collapsed="false">
      <c r="A46" s="8" t="s">
        <v>270</v>
      </c>
      <c r="B46" s="2" t="s">
        <v>265</v>
      </c>
      <c r="D46" s="42" t="n">
        <f aca="false">(D30-C30)-(D40+D41+D42+D43+D44+D45)</f>
        <v>0</v>
      </c>
      <c r="E46" s="41" t="n">
        <f aca="false">(E30-D30)-(E40+E41+E42+E43+E44+E45)</f>
        <v>-1.04083408558608E-016</v>
      </c>
      <c r="F46" s="41" t="n">
        <f aca="false">(F30-E30)-(F40+F41+F42+F43+F44+F45)</f>
        <v>1.28369537222284E-016</v>
      </c>
      <c r="G46" s="41" t="n">
        <f aca="false">(G30-F30)-(G40+G41+G42+G43+G44+G45)</f>
        <v>-1.2490009027033E-016</v>
      </c>
      <c r="H46" s="41" t="n">
        <f aca="false">(H30-G30)-(H40+H41+H42+H43+H44+H45)</f>
        <v>1.04083408558608E-016</v>
      </c>
      <c r="I46" s="41" t="n">
        <f aca="false">(I30-H30)-(I40+I41+I42+I43+I44+I45)</f>
        <v>-2.0122792321331E-016</v>
      </c>
      <c r="J46" s="41" t="n">
        <f aca="false">(J30-I30)-(J40+J41+J42+J43+J44+J45)</f>
        <v>7.63278329429795E-017</v>
      </c>
      <c r="K46" s="41" t="n">
        <f aca="false">(K30-J30)-(K40+K41+K42+K43+K44+K45)</f>
        <v>2.4980018054066E-016</v>
      </c>
      <c r="L46" s="41" t="n">
        <f aca="false">(L30-K30)-(L40+L41+L42+L43+L44+L45)</f>
        <v>2.08166817117217E-017</v>
      </c>
      <c r="M46" s="41" t="n">
        <f aca="false">(M30-L30)-(M40+M41+M42+M43+M44+M45)</f>
        <v>4.85722573273506E-017</v>
      </c>
    </row>
    <row r="47" customFormat="false" ht="15" hidden="false" customHeight="false" outlineLevel="0" collapsed="false">
      <c r="A47" s="8" t="s">
        <v>271</v>
      </c>
      <c r="B47" s="2" t="s">
        <v>265</v>
      </c>
      <c r="D47" s="42" t="n">
        <f aca="false">D30-C30</f>
        <v>0.168914370618767</v>
      </c>
      <c r="E47" s="41" t="n">
        <f aca="false">E30-D30</f>
        <v>-0.00910466782919195</v>
      </c>
      <c r="F47" s="41" t="n">
        <f aca="false">F30-E30</f>
        <v>-0.0226382549592216</v>
      </c>
      <c r="G47" s="41" t="n">
        <f aca="false">G30-F30</f>
        <v>-0.0299070148080896</v>
      </c>
      <c r="H47" s="41" t="n">
        <f aca="false">H30-G30</f>
        <v>-0.0257554247568611</v>
      </c>
      <c r="I47" s="41" t="n">
        <f aca="false">I30-H30</f>
        <v>-0.0225106031743182</v>
      </c>
      <c r="J47" s="41" t="n">
        <f aca="false">J30-I30</f>
        <v>-0.0213779416455232</v>
      </c>
      <c r="K47" s="41" t="n">
        <f aca="false">K30-J30</f>
        <v>-0.0162130221870035</v>
      </c>
      <c r="L47" s="41" t="n">
        <f aca="false">L30-K30</f>
        <v>-0.00397697734019442</v>
      </c>
      <c r="M47" s="41" t="n">
        <f aca="false">M30-L30</f>
        <v>-0.00992643367669233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13" min="3" style="0" width="10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17" t="s">
        <v>272</v>
      </c>
    </row>
    <row r="2" customFormat="false" ht="15" hidden="false" customHeight="false" outlineLevel="0" collapsed="false">
      <c r="A2" s="2" t="s">
        <v>273</v>
      </c>
    </row>
    <row r="3" customFormat="false" ht="15" hidden="false" customHeight="false" outlineLevel="0" collapsed="false">
      <c r="C3" s="18" t="s">
        <v>36</v>
      </c>
      <c r="D3" s="18" t="s">
        <v>37</v>
      </c>
    </row>
    <row r="4" customFormat="false" ht="15" hidden="false" customHeight="false" outlineLevel="0" collapsed="false">
      <c r="A4" s="6" t="s">
        <v>38</v>
      </c>
      <c r="B4" s="6" t="s">
        <v>39</v>
      </c>
      <c r="C4" s="19" t="s">
        <v>40</v>
      </c>
      <c r="D4" s="19" t="s">
        <v>7</v>
      </c>
      <c r="E4" s="19" t="s">
        <v>8</v>
      </c>
      <c r="F4" s="19" t="s">
        <v>41</v>
      </c>
      <c r="G4" s="19" t="s">
        <v>9</v>
      </c>
      <c r="H4" s="19" t="s">
        <v>42</v>
      </c>
      <c r="I4" s="19" t="s">
        <v>10</v>
      </c>
      <c r="J4" s="19" t="s">
        <v>43</v>
      </c>
      <c r="K4" s="19" t="s">
        <v>44</v>
      </c>
      <c r="L4" s="19" t="s">
        <v>45</v>
      </c>
      <c r="M4" s="19" t="s">
        <v>11</v>
      </c>
      <c r="N4" s="6" t="s">
        <v>46</v>
      </c>
    </row>
    <row r="5" customFormat="false" ht="15" hidden="false" customHeight="false" outlineLevel="0" collapsed="false">
      <c r="A5" s="20" t="s">
        <v>274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customFormat="false" ht="15" hidden="false" customHeight="false" outlineLevel="0" collapsed="false">
      <c r="A6" s="3" t="s">
        <v>12</v>
      </c>
      <c r="B6" s="2" t="s">
        <v>112</v>
      </c>
      <c r="C6" s="60" t="n">
        <f aca="false">Fiscal_Deuda!C30</f>
        <v>0.833075862068965</v>
      </c>
      <c r="D6" s="60" t="n">
        <f aca="false">Fiscal_Deuda!D30</f>
        <v>1.00199023268773</v>
      </c>
      <c r="E6" s="61" t="n">
        <f aca="false">Fiscal_Deuda!E30</f>
        <v>0.99288556485854</v>
      </c>
      <c r="F6" s="61" t="n">
        <f aca="false">Fiscal_Deuda!F30</f>
        <v>0.970247309899319</v>
      </c>
      <c r="G6" s="61" t="n">
        <f aca="false">Fiscal_Deuda!G30</f>
        <v>0.940340295091229</v>
      </c>
      <c r="H6" s="61" t="n">
        <f aca="false">Fiscal_Deuda!H30</f>
        <v>0.914584870334368</v>
      </c>
      <c r="I6" s="61" t="n">
        <f aca="false">Fiscal_Deuda!I30</f>
        <v>0.89207426716005</v>
      </c>
      <c r="J6" s="61" t="n">
        <f aca="false">Fiscal_Deuda!J30</f>
        <v>0.870696325514527</v>
      </c>
      <c r="K6" s="61" t="n">
        <f aca="false">Fiscal_Deuda!K30</f>
        <v>0.854483303327523</v>
      </c>
      <c r="L6" s="61" t="n">
        <f aca="false">Fiscal_Deuda!L30</f>
        <v>0.850506325987329</v>
      </c>
      <c r="M6" s="61" t="n">
        <f aca="false">Fiscal_Deuda!M30</f>
        <v>0.840579892310637</v>
      </c>
      <c r="N6" s="18" t="s">
        <v>275</v>
      </c>
    </row>
    <row r="7" customFormat="false" ht="15" hidden="false" customHeight="false" outlineLevel="0" collapsed="false">
      <c r="A7" s="8" t="s">
        <v>276</v>
      </c>
      <c r="B7" s="2" t="s">
        <v>112</v>
      </c>
      <c r="D7" s="40" t="n">
        <f aca="false">Fiscal_Deuda!D33</f>
        <v>0.699947625091042</v>
      </c>
      <c r="E7" s="9" t="n">
        <f aca="false">Fiscal_Deuda!E33</f>
        <v>0.710736578631723</v>
      </c>
      <c r="F7" s="9" t="n">
        <f aca="false">Fiscal_Deuda!F33</f>
        <v>0.706860982788103</v>
      </c>
      <c r="G7" s="9" t="n">
        <f aca="false">Fiscal_Deuda!G33</f>
        <v>0.695714570056816</v>
      </c>
      <c r="H7" s="9" t="n">
        <f aca="false">Fiscal_Deuda!H33</f>
        <v>0.682444915477684</v>
      </c>
      <c r="I7" s="9" t="n">
        <f aca="false">Fiscal_Deuda!I33</f>
        <v>0.67255970948228</v>
      </c>
      <c r="J7" s="9" t="n">
        <f aca="false">Fiscal_Deuda!J33</f>
        <v>0.663332575046437</v>
      </c>
      <c r="K7" s="9" t="n">
        <f aca="false">Fiscal_Deuda!K33</f>
        <v>0.66094534323312</v>
      </c>
      <c r="L7" s="9" t="n">
        <f aca="false">Fiscal_Deuda!L33</f>
        <v>0.675957617679639</v>
      </c>
      <c r="M7" s="9" t="n">
        <f aca="false">Fiscal_Deuda!M33</f>
        <v>0.679039068780073</v>
      </c>
    </row>
    <row r="8" customFormat="false" ht="15" hidden="false" customHeight="false" outlineLevel="0" collapsed="false">
      <c r="A8" s="3" t="s">
        <v>14</v>
      </c>
      <c r="B8" s="2" t="s">
        <v>112</v>
      </c>
      <c r="D8" s="60" t="n">
        <f aca="false">Fiscal_Deuda!D36</f>
        <v>0.212920444991712</v>
      </c>
      <c r="E8" s="61" t="n">
        <f aca="false">Fiscal_Deuda!E36</f>
        <v>0.200608464753688</v>
      </c>
      <c r="F8" s="61" t="n">
        <f aca="false">Fiscal_Deuda!F36</f>
        <v>0.178254501178639</v>
      </c>
      <c r="G8" s="61" t="n">
        <f aca="false">Fiscal_Deuda!G36</f>
        <v>0.1609780119437</v>
      </c>
      <c r="H8" s="61" t="n">
        <f aca="false">Fiscal_Deuda!H36</f>
        <v>0.160229011658346</v>
      </c>
      <c r="I8" s="61" t="n">
        <f aca="false">Fiscal_Deuda!I36</f>
        <v>0.154003528016859</v>
      </c>
      <c r="J8" s="61" t="n">
        <f aca="false">Fiscal_Deuda!J36</f>
        <v>0.151245622966369</v>
      </c>
      <c r="K8" s="61" t="n">
        <f aca="false">Fiscal_Deuda!K36</f>
        <v>0.148518076152939</v>
      </c>
      <c r="L8" s="61" t="n">
        <f aca="false">Fiscal_Deuda!L36</f>
        <v>0.143082017133889</v>
      </c>
      <c r="M8" s="61" t="n">
        <f aca="false">Fiscal_Deuda!M36</f>
        <v>0.142939983740314</v>
      </c>
      <c r="N8" s="18" t="s">
        <v>277</v>
      </c>
    </row>
    <row r="9" customFormat="false" ht="15" hidden="false" customHeight="false" outlineLevel="0" collapsed="false">
      <c r="A9" s="8" t="s">
        <v>15</v>
      </c>
      <c r="B9" s="2" t="s">
        <v>112</v>
      </c>
      <c r="C9" s="40" t="n">
        <f aca="false">Fiscal_Deuda!C37</f>
        <v>-0.114</v>
      </c>
      <c r="D9" s="40" t="n">
        <f aca="false">Fiscal_Deuda!D37</f>
        <v>-0.0920151573213441</v>
      </c>
      <c r="E9" s="9" t="n">
        <f aca="false">Fiscal_Deuda!E37</f>
        <v>-0.0670005277217472</v>
      </c>
      <c r="F9" s="9" t="n">
        <f aca="false">Fiscal_Deuda!F37</f>
        <v>-0.044986357364197</v>
      </c>
      <c r="G9" s="9" t="n">
        <f aca="false">Fiscal_Deuda!G37</f>
        <v>-0.0319959967302388</v>
      </c>
      <c r="H9" s="9" t="n">
        <f aca="false">Fiscal_Deuda!H37</f>
        <v>-0.0300484342321104</v>
      </c>
      <c r="I9" s="9" t="n">
        <f aca="false">Fiscal_Deuda!I37</f>
        <v>-0.0300450898780289</v>
      </c>
      <c r="J9" s="9" t="n">
        <f aca="false">Fiscal_Deuda!J37</f>
        <v>-0.0299791227744411</v>
      </c>
      <c r="K9" s="9" t="n">
        <f aca="false">Fiscal_Deuda!K37</f>
        <v>-0.0299874866924904</v>
      </c>
      <c r="L9" s="9" t="n">
        <f aca="false">Fiscal_Deuda!L37</f>
        <v>-0.0299635330790102</v>
      </c>
      <c r="M9" s="9" t="n">
        <f aca="false">Fiscal_Deuda!M37</f>
        <v>-0.0300239655989926</v>
      </c>
    </row>
    <row r="10" customFormat="false" ht="15" hidden="false" customHeight="false" outlineLevel="0" collapsed="false">
      <c r="A10" s="8" t="s">
        <v>278</v>
      </c>
      <c r="B10" s="2" t="s">
        <v>49</v>
      </c>
      <c r="C10" s="40" t="n">
        <f aca="false">Fiscal_Deuda!C31</f>
        <v>0.352778087173266</v>
      </c>
      <c r="D10" s="40" t="n">
        <f aca="false">Fiscal_Deuda!D31</f>
        <v>0.451922424457728</v>
      </c>
      <c r="E10" s="9" t="n">
        <f aca="false">Fiscal_Deuda!E31</f>
        <v>0.463828867466419</v>
      </c>
      <c r="F10" s="9" t="n">
        <f aca="false">Fiscal_Deuda!F31</f>
        <v>0.467719442888191</v>
      </c>
      <c r="G10" s="9" t="n">
        <f aca="false">Fiscal_Deuda!G31</f>
        <v>0.469089885708679</v>
      </c>
      <c r="H10" s="9" t="n">
        <f aca="false">Fiscal_Deuda!H31</f>
        <v>0.459957393142925</v>
      </c>
      <c r="I10" s="9" t="n">
        <f aca="false">Fiscal_Deuda!I31</f>
        <v>0.453173187333624</v>
      </c>
      <c r="J10" s="9" t="n">
        <f aca="false">Fiscal_Deuda!J31</f>
        <v>0.446142970830417</v>
      </c>
      <c r="K10" s="9" t="n">
        <f aca="false">Fiscal_Deuda!K31</f>
        <v>0.447568134719461</v>
      </c>
      <c r="L10" s="9" t="n">
        <f aca="false">Fiscal_Deuda!L31</f>
        <v>0.473771356123685</v>
      </c>
      <c r="M10" s="9" t="n">
        <f aca="false">Fiscal_Deuda!M31</f>
        <v>0.480600446969138</v>
      </c>
      <c r="N10" s="18" t="s">
        <v>279</v>
      </c>
    </row>
    <row r="11" customFormat="false" ht="15" hidden="false" customHeight="false" outlineLevel="0" collapsed="false">
      <c r="A11" s="20" t="s">
        <v>280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customFormat="false" ht="15" hidden="false" customHeight="false" outlineLevel="0" collapsed="false">
      <c r="A12" s="8" t="s">
        <v>281</v>
      </c>
      <c r="B12" s="2" t="s">
        <v>80</v>
      </c>
      <c r="C12" s="43" t="n">
        <f aca="false">Supuestos!$C$69</f>
        <v>3</v>
      </c>
      <c r="D12" s="43" t="n">
        <f aca="false">Supuestos!$C$69</f>
        <v>3</v>
      </c>
      <c r="E12" s="44" t="n">
        <f aca="false">D12*Fiscal_Deuda!E11/Fiscal_Deuda!D11</f>
        <v>2.57367637198326</v>
      </c>
      <c r="F12" s="44" t="n">
        <f aca="false">E12*Fiscal_Deuda!F11/Fiscal_Deuda!E11</f>
        <v>2.65512416015109</v>
      </c>
      <c r="G12" s="44" t="n">
        <f aca="false">F12*Fiscal_Deuda!G11/Fiscal_Deuda!F11</f>
        <v>2.7741881883162</v>
      </c>
      <c r="H12" s="44" t="n">
        <f aca="false">G12*Fiscal_Deuda!H11/Fiscal_Deuda!G11</f>
        <v>2.90976515044322</v>
      </c>
      <c r="I12" s="44" t="n">
        <f aca="false">H12*Fiscal_Deuda!I11/Fiscal_Deuda!H11</f>
        <v>3.04558553305755</v>
      </c>
      <c r="J12" s="44" t="n">
        <f aca="false">I12*Fiscal_Deuda!J11/Fiscal_Deuda!I11</f>
        <v>3.20287175232677</v>
      </c>
      <c r="K12" s="44" t="n">
        <f aca="false">J12*Fiscal_Deuda!K11/Fiscal_Deuda!J11</f>
        <v>3.34471474050938</v>
      </c>
      <c r="L12" s="44" t="n">
        <f aca="false">K12*Fiscal_Deuda!L11/Fiscal_Deuda!K11</f>
        <v>3.35891076328327</v>
      </c>
      <c r="M12" s="44" t="n">
        <f aca="false">L12*Fiscal_Deuda!M11/Fiscal_Deuda!L11</f>
        <v>3.25633599159861</v>
      </c>
    </row>
    <row r="13" customFormat="false" ht="15" hidden="false" customHeight="false" outlineLevel="0" collapsed="false">
      <c r="A13" s="8" t="s">
        <v>282</v>
      </c>
      <c r="B13" s="2" t="s">
        <v>80</v>
      </c>
      <c r="C13" s="47" t="n">
        <f aca="false">Fiscal_Deuda!C25+Externo!C37+C12</f>
        <v>17.164</v>
      </c>
      <c r="D13" s="47" t="n">
        <f aca="false">Fiscal_Deuda!D25+Externo!D37+D12</f>
        <v>18.244</v>
      </c>
      <c r="E13" s="44" t="n">
        <f aca="false">Fiscal_Deuda!E25+Externo!E37+E12</f>
        <v>19.3876763719833</v>
      </c>
      <c r="F13" s="44" t="n">
        <f aca="false">Fiscal_Deuda!F25+Externo!F37+F12</f>
        <v>20.6891241601511</v>
      </c>
      <c r="G13" s="44" t="n">
        <f aca="false">Fiscal_Deuda!G25+Externo!G37+G12</f>
        <v>21.4881881883162</v>
      </c>
      <c r="H13" s="44" t="n">
        <f aca="false">Fiscal_Deuda!H25+Externo!H37+H12</f>
        <v>21.6237651504432</v>
      </c>
      <c r="I13" s="44" t="n">
        <f aca="false">Fiscal_Deuda!I25+Externo!I37+I12</f>
        <v>21.8879188663909</v>
      </c>
      <c r="J13" s="44" t="n">
        <f aca="false">Fiscal_Deuda!J25+Externo!J37+J12</f>
        <v>22.0702050856601</v>
      </c>
      <c r="K13" s="44" t="n">
        <f aca="false">Fiscal_Deuda!K25+Externo!K37+K12</f>
        <v>22.0837147405094</v>
      </c>
      <c r="L13" s="44" t="n">
        <f aca="false">Fiscal_Deuda!L25+Externo!L37+L12</f>
        <v>21.9312440966166</v>
      </c>
      <c r="M13" s="44" t="n">
        <f aca="false">Fiscal_Deuda!M25+Externo!M37+M12</f>
        <v>21.6120026582653</v>
      </c>
    </row>
    <row r="14" customFormat="false" ht="15" hidden="false" customHeight="false" outlineLevel="0" collapsed="false">
      <c r="A14" s="8" t="s">
        <v>16</v>
      </c>
      <c r="B14" s="2" t="s">
        <v>112</v>
      </c>
      <c r="C14" s="42" t="n">
        <f aca="false">C13/Fiscal_Deuda!C11</f>
        <v>0.312072727272727</v>
      </c>
      <c r="D14" s="42" t="n">
        <f aca="false">D13/Fiscal_Deuda!D11</f>
        <v>0.390568515719901</v>
      </c>
      <c r="E14" s="41" t="n">
        <f aca="false">E13/Fiscal_Deuda!E11</f>
        <v>0.483804884432657</v>
      </c>
      <c r="F14" s="41" t="n">
        <f aca="false">F13/Fiscal_Deuda!F11</f>
        <v>0.500444238595942</v>
      </c>
      <c r="G14" s="41" t="n">
        <f aca="false">G13/Fiscal_Deuda!G11</f>
        <v>0.497464739158928</v>
      </c>
      <c r="H14" s="41" t="n">
        <f aca="false">H13/Fiscal_Deuda!H11</f>
        <v>0.477278422132361</v>
      </c>
      <c r="I14" s="41" t="n">
        <f aca="false">I13/Fiscal_Deuda!I11</f>
        <v>0.461564173665468</v>
      </c>
      <c r="J14" s="41" t="n">
        <f aca="false">J13/Fiscal_Deuda!J11</f>
        <v>0.442552952017846</v>
      </c>
      <c r="K14" s="41" t="n">
        <f aca="false">K13/Fiscal_Deuda!K11</f>
        <v>0.424044531500084</v>
      </c>
      <c r="L14" s="41" t="n">
        <f aca="false">L13/Fiscal_Deuda!L11</f>
        <v>0.419337039775436</v>
      </c>
      <c r="M14" s="41" t="n">
        <f aca="false">M13/Fiscal_Deuda!M11</f>
        <v>0.426249836380122</v>
      </c>
      <c r="N14" s="18" t="s">
        <v>283</v>
      </c>
    </row>
    <row r="15" customFormat="false" ht="15" hidden="false" customHeight="false" outlineLevel="0" collapsed="false">
      <c r="A15" s="8" t="s">
        <v>284</v>
      </c>
      <c r="B15" s="2" t="s">
        <v>49</v>
      </c>
      <c r="C15" s="42" t="n">
        <f aca="false">C13/Externo!C19</f>
        <v>1.80673684210526</v>
      </c>
      <c r="D15" s="42" t="n">
        <f aca="false">D13/Externo!D19</f>
        <v>1.34147058823529</v>
      </c>
      <c r="E15" s="41" t="n">
        <f aca="false">E13/Externo!E19</f>
        <v>1.45724916118144</v>
      </c>
      <c r="F15" s="41" t="n">
        <f aca="false">F13/Externo!F19</f>
        <v>1.5869017577577</v>
      </c>
      <c r="G15" s="41" t="n">
        <f aca="false">G13/Externo!G19</f>
        <v>1.62933947600648</v>
      </c>
      <c r="H15" s="41" t="n">
        <f aca="false">H13/Externo!H19</f>
        <v>1.61538047543685</v>
      </c>
      <c r="I15" s="41" t="n">
        <f aca="false">I13/Externo!I19</f>
        <v>1.60517497281353</v>
      </c>
      <c r="J15" s="41" t="n">
        <f aca="false">J13/Externo!J19</f>
        <v>1.58833338349682</v>
      </c>
      <c r="K15" s="41" t="n">
        <f aca="false">K13/Externo!K19</f>
        <v>1.55910684129485</v>
      </c>
      <c r="L15" s="41" t="n">
        <f aca="false">L13/Externo!L19</f>
        <v>1.51677438287671</v>
      </c>
      <c r="M15" s="41" t="n">
        <f aca="false">M13/Externo!M19</f>
        <v>1.45919694922084</v>
      </c>
      <c r="N15" s="18" t="s">
        <v>285</v>
      </c>
    </row>
    <row r="16" customFormat="false" ht="15" hidden="false" customHeight="false" outlineLevel="0" collapsed="false">
      <c r="A16" s="8" t="s">
        <v>286</v>
      </c>
      <c r="B16" s="2" t="s">
        <v>80</v>
      </c>
      <c r="D16" s="47" t="n">
        <f aca="false">-Externo!D26-Externo!D27+Externo!D34+Externo!D36</f>
        <v>1.6582</v>
      </c>
      <c r="E16" s="44" t="n">
        <f aca="false">-Externo!E26-Externo!E27+Externo!E34+Externo!E36</f>
        <v>1.843978</v>
      </c>
      <c r="F16" s="44" t="n">
        <f aca="false">-Externo!F26-Externo!F27+Externo!F34+Externo!F36</f>
        <v>1.977478</v>
      </c>
      <c r="G16" s="44" t="n">
        <f aca="false">-Externo!G26-Externo!G27+Externo!G34+Externo!G36</f>
        <v>1.992778</v>
      </c>
      <c r="H16" s="44" t="n">
        <f aca="false">-Externo!H26-Externo!H27+Externo!H34+Externo!H36</f>
        <v>2.278828</v>
      </c>
      <c r="I16" s="44" t="n">
        <f aca="false">-Externo!I26-Externo!I27+Externo!I34+Externo!I36</f>
        <v>2.15049466666667</v>
      </c>
      <c r="J16" s="44" t="n">
        <f aca="false">-Externo!J26-Externo!J27+Externo!J34+Externo!J36</f>
        <v>2.26028633333333</v>
      </c>
      <c r="K16" s="44" t="n">
        <f aca="false">-Externo!K26-Externo!K27+Externo!K34+Externo!K36</f>
        <v>2.41439466666667</v>
      </c>
      <c r="L16" s="44" t="n">
        <f aca="false">-Externo!L26-Externo!L27+Externo!L34+Externo!L36</f>
        <v>2.44521966666667</v>
      </c>
      <c r="M16" s="44" t="n">
        <f aca="false">-Externo!M26-Externo!M27+Externo!M34+Externo!M36</f>
        <v>2.485603</v>
      </c>
    </row>
    <row r="17" customFormat="false" ht="15" hidden="false" customHeight="false" outlineLevel="0" collapsed="false">
      <c r="A17" s="8" t="s">
        <v>287</v>
      </c>
      <c r="B17" s="2" t="s">
        <v>49</v>
      </c>
      <c r="D17" s="42" t="n">
        <f aca="false">D16/Externo!D19</f>
        <v>0.121926470588235</v>
      </c>
      <c r="E17" s="41" t="n">
        <f aca="false">E16/Externo!E19</f>
        <v>0.138600177874856</v>
      </c>
      <c r="F17" s="41" t="n">
        <f aca="false">F16/Externo!F19</f>
        <v>0.151676953061712</v>
      </c>
      <c r="G17" s="41" t="n">
        <f aca="false">G16/Externo!G19</f>
        <v>0.151102169892699</v>
      </c>
      <c r="H17" s="41" t="n">
        <f aca="false">H16/Externo!H19</f>
        <v>0.170237432402163</v>
      </c>
      <c r="I17" s="41" t="n">
        <f aca="false">I16/Externo!I19</f>
        <v>0.157708927887282</v>
      </c>
      <c r="J17" s="41" t="n">
        <f aca="false">J16/Externo!J19</f>
        <v>0.162666736695962</v>
      </c>
      <c r="K17" s="41" t="n">
        <f aca="false">K16/Externo!K19</f>
        <v>0.170455889628059</v>
      </c>
      <c r="L17" s="41" t="n">
        <f aca="false">L16/Externo!L19</f>
        <v>0.169112455935799</v>
      </c>
      <c r="M17" s="41" t="n">
        <f aca="false">M16/Externo!M19</f>
        <v>0.167822685010964</v>
      </c>
      <c r="N17" s="18" t="s">
        <v>288</v>
      </c>
    </row>
    <row r="18" customFormat="false" ht="15" hidden="false" customHeight="false" outlineLevel="0" collapsed="false">
      <c r="A18" s="8" t="s">
        <v>18</v>
      </c>
      <c r="B18" s="2" t="s">
        <v>112</v>
      </c>
      <c r="C18" s="42" t="n">
        <f aca="false">Externo!C30/Fiscal_Deuda!C11</f>
        <v>-0.0209705454545454</v>
      </c>
      <c r="D18" s="42" t="n">
        <f aca="false">Externo!D30/Fiscal_Deuda!D11</f>
        <v>0.0133543433515717</v>
      </c>
      <c r="E18" s="41" t="n">
        <f aca="false">Externo!E30/Fiscal_Deuda!E11</f>
        <v>0.0112912664954444</v>
      </c>
      <c r="F18" s="41" t="n">
        <f aca="false">Externo!F30/Fiscal_Deuda!F11</f>
        <v>-0.00534087739606192</v>
      </c>
      <c r="G18" s="41" t="n">
        <f aca="false">Externo!G30/Fiscal_Deuda!G11</f>
        <v>-0.0154678961626428</v>
      </c>
      <c r="H18" s="41" t="n">
        <f aca="false">Externo!H30/Fiscal_Deuda!H11</f>
        <v>-0.0230818615942789</v>
      </c>
      <c r="I18" s="41" t="n">
        <f aca="false">Externo!I30/Fiscal_Deuda!I11</f>
        <v>-0.0295688770502413</v>
      </c>
      <c r="J18" s="41" t="n">
        <f aca="false">Externo!J30/Fiscal_Deuda!J11</f>
        <v>-0.0358246384142606</v>
      </c>
      <c r="K18" s="41" t="n">
        <f aca="false">Externo!K30/Fiscal_Deuda!K11</f>
        <v>-0.0371616674970956</v>
      </c>
      <c r="L18" s="41" t="n">
        <f aca="false">Externo!L30/Fiscal_Deuda!L11</f>
        <v>-0.0221396361170129</v>
      </c>
      <c r="M18" s="41" t="n">
        <f aca="false">Externo!M30/Fiscal_Deuda!M11</f>
        <v>-0.00575903644323483</v>
      </c>
    </row>
    <row r="19" customFormat="false" ht="15" hidden="false" customHeight="false" outlineLevel="0" collapsed="false">
      <c r="A19" s="8" t="s">
        <v>289</v>
      </c>
      <c r="B19" s="2" t="s">
        <v>80</v>
      </c>
      <c r="C19" s="43" t="n">
        <f aca="false">Externo!C46</f>
        <v>3.81</v>
      </c>
      <c r="D19" s="43" t="n">
        <f aca="false">Externo!D46</f>
        <v>5.1938</v>
      </c>
      <c r="E19" s="10" t="n">
        <f aca="false">Externo!E46</f>
        <v>6.574278732</v>
      </c>
      <c r="F19" s="10" t="n">
        <f aca="false">Externo!F46</f>
        <v>7.51947875659957</v>
      </c>
      <c r="G19" s="10" t="n">
        <f aca="false">Externo!G46</f>
        <v>8.03133680108699</v>
      </c>
      <c r="H19" s="10" t="n">
        <f aca="false">Externo!H46</f>
        <v>7.6855808414528</v>
      </c>
      <c r="I19" s="10" t="n">
        <f aca="false">Externo!I46</f>
        <v>7.1117230629711</v>
      </c>
      <c r="J19" s="10" t="n">
        <f aca="false">Externo!J46</f>
        <v>6.05014111087407</v>
      </c>
      <c r="K19" s="10" t="n">
        <f aca="false">Externo!K46</f>
        <v>4.68647409599471</v>
      </c>
      <c r="L19" s="10" t="n">
        <f aca="false">Externo!L46</f>
        <v>4.06190884695501</v>
      </c>
      <c r="M19" s="10" t="n">
        <f aca="false">Externo!M46</f>
        <v>4.25324368481152</v>
      </c>
    </row>
    <row r="20" customFormat="false" ht="15" hidden="false" customHeight="false" outlineLevel="0" collapsed="false">
      <c r="A20" s="3" t="s">
        <v>290</v>
      </c>
      <c r="B20" s="2" t="s">
        <v>291</v>
      </c>
      <c r="C20" s="62" t="n">
        <f aca="false">Externo!C46/(Externo!C23/12)</f>
        <v>4.98582333696838</v>
      </c>
      <c r="D20" s="62" t="n">
        <f aca="false">Externo!D46/(Externo!D23/12)</f>
        <v>5.37289655172414</v>
      </c>
      <c r="E20" s="63" t="n">
        <f aca="false">Externo!E46/(Externo!E23/12)</f>
        <v>6.90455926338403</v>
      </c>
      <c r="F20" s="63" t="n">
        <f aca="false">Externo!F46/(Externo!F23/12)</f>
        <v>7.65699538597474</v>
      </c>
      <c r="G20" s="63" t="n">
        <f aca="false">Externo!G46/(Externo!G23/12)</f>
        <v>7.81692050196729</v>
      </c>
      <c r="H20" s="63" t="n">
        <f aca="false">Externo!H46/(Externo!H23/12)</f>
        <v>7.16109186447664</v>
      </c>
      <c r="I20" s="63" t="n">
        <f aca="false">Externo!I46/(Externo!I23/12)</f>
        <v>6.32472085993472</v>
      </c>
      <c r="J20" s="63" t="n">
        <f aca="false">Externo!J46/(Externo!J23/12)</f>
        <v>5.13480515052156</v>
      </c>
      <c r="K20" s="63" t="n">
        <f aca="false">Externo!K46/(Externo!K23/12)</f>
        <v>3.86104420854478</v>
      </c>
      <c r="L20" s="63" t="n">
        <f aca="false">Externo!L46/(Externo!L23/12)</f>
        <v>3.45694987076778</v>
      </c>
      <c r="M20" s="63" t="n">
        <f aca="false">Externo!M46/(Externo!M23/12)</f>
        <v>3.75128682412384</v>
      </c>
      <c r="N20" s="18" t="s">
        <v>292</v>
      </c>
    </row>
    <row r="21" customFormat="false" ht="15" hidden="false" customHeight="false" outlineLevel="0" collapsed="false">
      <c r="A21" s="8" t="s">
        <v>293</v>
      </c>
      <c r="B21" s="2" t="s">
        <v>294</v>
      </c>
      <c r="D21" s="64" t="n">
        <f aca="false">Externo!D46/(Externo!D34+Externo!D36+Supuestos!$C$68*D12)</f>
        <v>2.41572093023256</v>
      </c>
      <c r="E21" s="65" t="n">
        <f aca="false">Externo!E46/(Externo!E34+Externo!E36+Supuestos!$C$68*E12)</f>
        <v>3.16151567321547</v>
      </c>
      <c r="F21" s="65" t="n">
        <f aca="false">Externo!F46/(Externo!F34+Externo!F36+Supuestos!$C$68*F12)</f>
        <v>3.4779398834334</v>
      </c>
      <c r="G21" s="65" t="n">
        <f aca="false">Externo!G46/(Externo!G34+Externo!G36+Supuestos!$C$68*G12)</f>
        <v>3.71877054520286</v>
      </c>
      <c r="H21" s="65" t="n">
        <f aca="false">Externo!H46/(Externo!H34+Externo!H36+Supuestos!$C$68*H12)</f>
        <v>3.11926699060101</v>
      </c>
      <c r="I21" s="65" t="n">
        <f aca="false">Externo!I46/(Externo!I34+Externo!I36+Supuestos!$C$68*I12)</f>
        <v>2.97573975674647</v>
      </c>
      <c r="J21" s="65" t="n">
        <f aca="false">Externo!J46/(Externo!J34+Externo!J36+Supuestos!$C$68*J12)</f>
        <v>2.36689716395262</v>
      </c>
      <c r="K21" s="65" t="n">
        <f aca="false">Externo!K46/(Externo!K34+Externo!K36+Supuestos!$C$68*K12)</f>
        <v>1.69418028981708</v>
      </c>
      <c r="L21" s="65" t="n">
        <f aca="false">Externo!L46/(Externo!L34+Externo!L36+Supuestos!$C$68*L12)</f>
        <v>1.44540035586227</v>
      </c>
      <c r="M21" s="65" t="n">
        <f aca="false">Externo!M46/(Externo!M34+Externo!M36+Supuestos!$C$68*M12)</f>
        <v>1.5086698640159</v>
      </c>
      <c r="N21" s="18" t="s">
        <v>295</v>
      </c>
    </row>
    <row r="22" customFormat="false" ht="15" hidden="false" customHeight="false" outlineLevel="0" collapsed="false">
      <c r="A22" s="20" t="s">
        <v>296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customFormat="false" ht="15" hidden="false" customHeight="false" outlineLevel="0" collapsed="false">
      <c r="A23" s="8" t="s">
        <v>228</v>
      </c>
      <c r="B23" s="2" t="s">
        <v>80</v>
      </c>
      <c r="C23" s="43" t="n">
        <f aca="false">Externo!C44</f>
        <v>0</v>
      </c>
      <c r="D23" s="43" t="n">
        <f aca="false">Externo!D44</f>
        <v>0</v>
      </c>
      <c r="E23" s="10" t="n">
        <f aca="false">Externo!E44</f>
        <v>0</v>
      </c>
      <c r="F23" s="10" t="n">
        <f aca="false">Externo!F44</f>
        <v>0</v>
      </c>
      <c r="G23" s="10" t="n">
        <f aca="false">Externo!G44</f>
        <v>0</v>
      </c>
      <c r="H23" s="10" t="n">
        <f aca="false">Externo!H44</f>
        <v>0</v>
      </c>
      <c r="I23" s="10" t="n">
        <f aca="false">Externo!I44</f>
        <v>0</v>
      </c>
      <c r="J23" s="10" t="n">
        <f aca="false">Externo!J44</f>
        <v>0</v>
      </c>
      <c r="K23" s="10" t="n">
        <f aca="false">Externo!K44</f>
        <v>0.252993496824824</v>
      </c>
      <c r="L23" s="10" t="n">
        <f aca="false">Externo!L44</f>
        <v>0.957124144142643</v>
      </c>
      <c r="M23" s="10" t="n">
        <f aca="false">Externo!M44</f>
        <v>0.422989947538242</v>
      </c>
    </row>
    <row r="24" customFormat="false" ht="15" hidden="false" customHeight="false" outlineLevel="0" collapsed="false">
      <c r="A24" s="8" t="s">
        <v>297</v>
      </c>
      <c r="B24" s="2" t="s">
        <v>49</v>
      </c>
      <c r="C24" s="40" t="n">
        <f aca="false">Externo!C45</f>
        <v>0</v>
      </c>
      <c r="D24" s="40" t="n">
        <f aca="false">Externo!D45</f>
        <v>0</v>
      </c>
      <c r="E24" s="9" t="n">
        <f aca="false">Externo!E45</f>
        <v>0</v>
      </c>
      <c r="F24" s="9" t="n">
        <f aca="false">Externo!F45</f>
        <v>0</v>
      </c>
      <c r="G24" s="9" t="n">
        <f aca="false">Externo!G45</f>
        <v>0</v>
      </c>
      <c r="H24" s="9" t="n">
        <f aca="false">Externo!H45</f>
        <v>0</v>
      </c>
      <c r="I24" s="9" t="n">
        <f aca="false">Externo!I45</f>
        <v>0</v>
      </c>
      <c r="J24" s="9" t="n">
        <f aca="false">Externo!J45</f>
        <v>0</v>
      </c>
      <c r="K24" s="9" t="n">
        <f aca="false">Externo!K45</f>
        <v>0.0414855765859181</v>
      </c>
      <c r="L24" s="9" t="n">
        <f aca="false">Externo!L45</f>
        <v>0.154587310563794</v>
      </c>
      <c r="M24" s="9" t="n">
        <f aca="false">Externo!M45</f>
        <v>0.0748583370277311</v>
      </c>
    </row>
    <row r="25" customFormat="false" ht="15" hidden="false" customHeight="false" outlineLevel="0" collapsed="false">
      <c r="A25" s="8" t="s">
        <v>237</v>
      </c>
      <c r="B25" s="2" t="s">
        <v>58</v>
      </c>
      <c r="C25" s="52" t="n">
        <f aca="false">Fiscal_Deuda!C9</f>
        <v>6.96</v>
      </c>
      <c r="D25" s="52" t="n">
        <f aca="false">Fiscal_Deuda!D9</f>
        <v>11.8</v>
      </c>
      <c r="E25" s="12" t="n">
        <f aca="false">Fiscal_Deuda!E9</f>
        <v>12.755073313783</v>
      </c>
      <c r="F25" s="12" t="n">
        <f aca="false">Fiscal_Deuda!F9</f>
        <v>13.318640580433</v>
      </c>
      <c r="G25" s="12" t="n">
        <f aca="false">Fiscal_Deuda!G9</f>
        <v>13.6623474341216</v>
      </c>
      <c r="H25" s="12" t="n">
        <f aca="false">Fiscal_Deuda!H9</f>
        <v>14.0229372490985</v>
      </c>
      <c r="I25" s="12" t="n">
        <f aca="false">Fiscal_Deuda!I9</f>
        <v>14.2559674868645</v>
      </c>
      <c r="J25" s="12" t="n">
        <f aca="false">Fiscal_Deuda!J9</f>
        <v>14.4928701723745</v>
      </c>
      <c r="K25" s="12" t="n">
        <f aca="false">Fiscal_Deuda!K9</f>
        <v>15.3449460975315</v>
      </c>
      <c r="L25" s="12" t="n">
        <f aca="false">Fiscal_Deuda!L9</f>
        <v>18.0114987754791</v>
      </c>
      <c r="M25" s="12" t="n">
        <f aca="false">Fiscal_Deuda!M9</f>
        <v>19.6815268876207</v>
      </c>
    </row>
  </sheetData>
  <conditionalFormatting sqref="C6:M6">
    <cfRule type="cellIs" priority="2" operator="greaterThan" aboveAverage="0" equalAverage="0" bottom="0" percent="0" rank="0" text="" dxfId="0">
      <formula>0.7</formula>
    </cfRule>
  </conditionalFormatting>
  <conditionalFormatting sqref="C8:M8">
    <cfRule type="cellIs" priority="3" operator="greaterThan" aboveAverage="0" equalAverage="0" bottom="0" percent="0" rank="0" text="" dxfId="0">
      <formula>0.15</formula>
    </cfRule>
  </conditionalFormatting>
  <conditionalFormatting sqref="C10:M10">
    <cfRule type="cellIs" priority="4" operator="greaterThan" aboveAverage="0" equalAverage="0" bottom="0" percent="0" rank="0" text="" dxfId="0">
      <formula>0.5</formula>
    </cfRule>
  </conditionalFormatting>
  <conditionalFormatting sqref="C14:M14">
    <cfRule type="cellIs" priority="5" operator="greaterThan" aboveAverage="0" equalAverage="0" bottom="0" percent="0" rank="0" text="" dxfId="0">
      <formula>0.4</formula>
    </cfRule>
  </conditionalFormatting>
  <conditionalFormatting sqref="C15:M15">
    <cfRule type="cellIs" priority="6" operator="greaterThan" aboveAverage="0" equalAverage="0" bottom="0" percent="0" rank="0" text="" dxfId="0">
      <formula>1.8</formula>
    </cfRule>
  </conditionalFormatting>
  <conditionalFormatting sqref="C17:M17">
    <cfRule type="cellIs" priority="7" operator="greaterThan" aboveAverage="0" equalAverage="0" bottom="0" percent="0" rank="0" text="" dxfId="0">
      <formula>0.15</formula>
    </cfRule>
  </conditionalFormatting>
  <conditionalFormatting sqref="C20:M20">
    <cfRule type="cellIs" priority="8" operator="lessThan" aboveAverage="0" equalAverage="0" bottom="0" percent="0" rank="0" text="" dxfId="0">
      <formula>3</formula>
    </cfRule>
  </conditionalFormatting>
  <conditionalFormatting sqref="C21:M21">
    <cfRule type="cellIs" priority="9" operator="less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13" min="3" style="0" width="9"/>
  </cols>
  <sheetData>
    <row r="1" customFormat="false" ht="17.35" hidden="false" customHeight="false" outlineLevel="0" collapsed="false">
      <c r="A1" s="17" t="s">
        <v>298</v>
      </c>
    </row>
    <row r="2" customFormat="false" ht="15" hidden="false" customHeight="false" outlineLevel="0" collapsed="false">
      <c r="A2" s="2" t="s">
        <v>299</v>
      </c>
    </row>
    <row r="4" customFormat="false" ht="15" hidden="false" customHeight="false" outlineLevel="0" collapsed="false">
      <c r="A4" s="20" t="s">
        <v>12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15" hidden="false" customHeight="false" outlineLevel="0" collapsed="false">
      <c r="A5" s="6" t="s">
        <v>173</v>
      </c>
      <c r="B5" s="7"/>
      <c r="C5" s="6" t="s">
        <v>40</v>
      </c>
      <c r="D5" s="6" t="s">
        <v>7</v>
      </c>
      <c r="E5" s="6" t="s">
        <v>8</v>
      </c>
      <c r="F5" s="6" t="s">
        <v>41</v>
      </c>
      <c r="G5" s="6" t="s">
        <v>9</v>
      </c>
      <c r="H5" s="6" t="s">
        <v>42</v>
      </c>
      <c r="I5" s="6" t="s">
        <v>10</v>
      </c>
      <c r="J5" s="6" t="s">
        <v>43</v>
      </c>
      <c r="K5" s="6" t="s">
        <v>44</v>
      </c>
      <c r="L5" s="6" t="s">
        <v>45</v>
      </c>
      <c r="M5" s="6" t="s">
        <v>11</v>
      </c>
    </row>
    <row r="6" customFormat="false" ht="15" hidden="false" customHeight="false" outlineLevel="0" collapsed="false">
      <c r="A6" s="8" t="s">
        <v>186</v>
      </c>
      <c r="C6" s="41" t="n">
        <v>0.833075862068965</v>
      </c>
      <c r="D6" s="41" t="n">
        <v>1.00199023268773</v>
      </c>
      <c r="E6" s="41" t="n">
        <v>0.99288556485854</v>
      </c>
      <c r="F6" s="41" t="n">
        <v>0.970247309899319</v>
      </c>
      <c r="G6" s="41" t="n">
        <v>0.940340295091229</v>
      </c>
      <c r="H6" s="41" t="n">
        <v>0.914584870334368</v>
      </c>
      <c r="I6" s="41" t="n">
        <v>0.89207426716005</v>
      </c>
      <c r="J6" s="41" t="n">
        <v>0.870696325514527</v>
      </c>
      <c r="K6" s="41" t="n">
        <v>0.854483303327523</v>
      </c>
      <c r="L6" s="41" t="n">
        <v>0.850506325987329</v>
      </c>
      <c r="M6" s="41" t="n">
        <v>0.840579892310636</v>
      </c>
    </row>
    <row r="7" customFormat="false" ht="15" hidden="false" customHeight="false" outlineLevel="0" collapsed="false">
      <c r="A7" s="8" t="s">
        <v>187</v>
      </c>
      <c r="C7" s="41" t="n">
        <v>0.833075862068965</v>
      </c>
      <c r="D7" s="41" t="n">
        <v>1.00199023268773</v>
      </c>
      <c r="E7" s="41" t="n">
        <v>0.9750028221443</v>
      </c>
      <c r="F7" s="41" t="n">
        <v>0.936173515342133</v>
      </c>
      <c r="G7" s="41" t="n">
        <v>0.892003576032016</v>
      </c>
      <c r="H7" s="41" t="n">
        <v>0.868046344188128</v>
      </c>
      <c r="I7" s="41" t="n">
        <v>0.85914013566818</v>
      </c>
      <c r="J7" s="41" t="n">
        <v>0.847995396823339</v>
      </c>
      <c r="K7" s="41" t="n">
        <v>0.831900871535338</v>
      </c>
      <c r="L7" s="41" t="n">
        <v>0.815992506782821</v>
      </c>
      <c r="M7" s="41" t="n">
        <v>0.801933434517429</v>
      </c>
    </row>
    <row r="8" customFormat="false" ht="15" hidden="false" customHeight="false" outlineLevel="0" collapsed="false">
      <c r="A8" s="8" t="s">
        <v>188</v>
      </c>
      <c r="C8" s="41" t="n">
        <v>0.833075862068965</v>
      </c>
      <c r="D8" s="41" t="n">
        <v>1.00199023268773</v>
      </c>
      <c r="E8" s="41" t="n">
        <v>1.01386290222076</v>
      </c>
      <c r="F8" s="41" t="n">
        <v>1.01900928249847</v>
      </c>
      <c r="G8" s="41" t="n">
        <v>1.00427227374254</v>
      </c>
      <c r="H8" s="41" t="n">
        <v>0.996764924010901</v>
      </c>
      <c r="I8" s="41" t="n">
        <v>0.978910842598278</v>
      </c>
      <c r="J8" s="41" t="n">
        <v>0.962523727682393</v>
      </c>
      <c r="K8" s="41" t="n">
        <v>0.95087483110256</v>
      </c>
      <c r="L8" s="41" t="n">
        <v>0.939280526092457</v>
      </c>
      <c r="M8" s="41" t="n">
        <v>0.92724414743161</v>
      </c>
    </row>
    <row r="9" customFormat="false" ht="15" hidden="false" customHeight="false" outlineLevel="0" collapsed="false">
      <c r="A9" s="8" t="s">
        <v>189</v>
      </c>
      <c r="C9" s="41" t="n">
        <v>0.833075862068965</v>
      </c>
      <c r="D9" s="41" t="n">
        <v>1.00199023268773</v>
      </c>
      <c r="E9" s="41" t="n">
        <v>1.00612129800054</v>
      </c>
      <c r="F9" s="41" t="n">
        <v>0.994156818555811</v>
      </c>
      <c r="G9" s="41" t="n">
        <v>0.975518303433774</v>
      </c>
      <c r="H9" s="41" t="n">
        <v>0.961102678619584</v>
      </c>
      <c r="I9" s="41" t="n">
        <v>0.959529145537155</v>
      </c>
      <c r="J9" s="41" t="n">
        <v>0.961477617869609</v>
      </c>
      <c r="K9" s="41" t="n">
        <v>0.959165751808652</v>
      </c>
      <c r="L9" s="41" t="n">
        <v>0.954582523915953</v>
      </c>
      <c r="M9" s="41" t="n">
        <v>0.951012524303242</v>
      </c>
    </row>
    <row r="10" customFormat="false" ht="15" hidden="false" customHeight="false" outlineLevel="0" collapsed="false">
      <c r="A10" s="8" t="s">
        <v>190</v>
      </c>
      <c r="C10" s="41" t="n">
        <v>0.833075862068965</v>
      </c>
      <c r="D10" s="41" t="n">
        <v>1.00199023268773</v>
      </c>
      <c r="E10" s="41" t="n">
        <v>1.01288556485854</v>
      </c>
      <c r="F10" s="41" t="n">
        <v>1.00987394735425</v>
      </c>
      <c r="G10" s="41" t="n">
        <v>0.999739698776067</v>
      </c>
      <c r="H10" s="41" t="n">
        <v>0.995531244960822</v>
      </c>
      <c r="I10" s="41" t="n">
        <v>1.00971807170836</v>
      </c>
      <c r="J10" s="41" t="n">
        <v>1.02099897560865</v>
      </c>
      <c r="K10" s="41" t="n">
        <v>1.02552466132472</v>
      </c>
      <c r="L10" s="41" t="n">
        <v>1.02956764911857</v>
      </c>
      <c r="M10" s="41" t="n">
        <v>1.03536790828766</v>
      </c>
    </row>
    <row r="11" customFormat="false" ht="15" hidden="false" customHeight="false" outlineLevel="0" collapsed="false">
      <c r="A11" s="8" t="s">
        <v>191</v>
      </c>
      <c r="C11" s="41" t="n">
        <v>0.833075862068965</v>
      </c>
      <c r="D11" s="41" t="n">
        <v>1.00199023268773</v>
      </c>
      <c r="E11" s="41" t="n">
        <v>0.99288556485854</v>
      </c>
      <c r="F11" s="41" t="n">
        <v>0.970247309899319</v>
      </c>
      <c r="G11" s="41" t="n">
        <v>0.940340295091229</v>
      </c>
      <c r="H11" s="41" t="n">
        <v>0.930336468418325</v>
      </c>
      <c r="I11" s="41" t="n">
        <v>0.920977276633969</v>
      </c>
      <c r="J11" s="41" t="n">
        <v>0.90338385563088</v>
      </c>
      <c r="K11" s="41" t="n">
        <v>0.885583936232529</v>
      </c>
      <c r="L11" s="41" t="n">
        <v>0.869590586035855</v>
      </c>
      <c r="M11" s="41" t="n">
        <v>0.854699614452545</v>
      </c>
    </row>
    <row r="12" customFormat="false" ht="15" hidden="false" customHeight="false" outlineLevel="0" collapsed="false">
      <c r="A12" s="8" t="s">
        <v>192</v>
      </c>
      <c r="C12" s="41" t="n">
        <v>0.833075862068965</v>
      </c>
      <c r="D12" s="41" t="n">
        <v>1.00199023268773</v>
      </c>
      <c r="E12" s="41" t="n">
        <v>1.05253494262483</v>
      </c>
      <c r="F12" s="41" t="n">
        <v>1.0746487494602</v>
      </c>
      <c r="G12" s="41" t="n">
        <v>1.07616208323976</v>
      </c>
      <c r="H12" s="41" t="n">
        <v>1.08203739866192</v>
      </c>
      <c r="I12" s="41" t="n">
        <v>1.07560732589894</v>
      </c>
      <c r="J12" s="41" t="n">
        <v>1.07100500052811</v>
      </c>
      <c r="K12" s="41" t="n">
        <v>1.07160373396592</v>
      </c>
      <c r="L12" s="41" t="n">
        <v>1.0721004124205</v>
      </c>
      <c r="M12" s="41" t="n">
        <v>1.07172877007236</v>
      </c>
    </row>
    <row r="13" customFormat="false" ht="15" hidden="false" customHeight="false" outlineLevel="0" collapsed="false">
      <c r="A13" s="8" t="s">
        <v>193</v>
      </c>
      <c r="C13" s="41" t="n">
        <v>0.833075862068965</v>
      </c>
      <c r="D13" s="41" t="n">
        <v>1.00199023268773</v>
      </c>
      <c r="E13" s="41" t="n">
        <v>0.993176744640789</v>
      </c>
      <c r="F13" s="41" t="n">
        <v>0.970858914146223</v>
      </c>
      <c r="G13" s="41" t="n">
        <v>0.941056651520098</v>
      </c>
      <c r="H13" s="41" t="n">
        <v>0.915597239995169</v>
      </c>
      <c r="I13" s="41" t="n">
        <v>0.893227597159606</v>
      </c>
      <c r="J13" s="41" t="n">
        <v>0.871916447793514</v>
      </c>
      <c r="K13" s="41" t="n">
        <v>0.85212807018857</v>
      </c>
      <c r="L13" s="41" t="n">
        <v>0.853213921162134</v>
      </c>
      <c r="M13" s="41" t="n">
        <v>0.850397077634044</v>
      </c>
    </row>
    <row r="15" customFormat="false" ht="15" hidden="false" customHeight="false" outlineLevel="0" collapsed="false">
      <c r="A15" s="20" t="s">
        <v>19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customFormat="false" ht="15" hidden="false" customHeight="false" outlineLevel="0" collapsed="false">
      <c r="A16" s="6" t="s">
        <v>173</v>
      </c>
      <c r="B16" s="7"/>
      <c r="C16" s="6" t="s">
        <v>40</v>
      </c>
      <c r="D16" s="6" t="s">
        <v>7</v>
      </c>
      <c r="E16" s="6" t="s">
        <v>8</v>
      </c>
      <c r="F16" s="6" t="s">
        <v>41</v>
      </c>
      <c r="G16" s="6" t="s">
        <v>9</v>
      </c>
      <c r="H16" s="6" t="s">
        <v>42</v>
      </c>
      <c r="I16" s="6" t="s">
        <v>10</v>
      </c>
      <c r="J16" s="6" t="s">
        <v>43</v>
      </c>
      <c r="K16" s="6" t="s">
        <v>44</v>
      </c>
      <c r="L16" s="6" t="s">
        <v>45</v>
      </c>
      <c r="M16" s="6" t="s">
        <v>11</v>
      </c>
    </row>
    <row r="17" customFormat="false" ht="15" hidden="false" customHeight="false" outlineLevel="0" collapsed="false">
      <c r="A17" s="8" t="s">
        <v>186</v>
      </c>
      <c r="C17" s="44" t="n">
        <v>3.81</v>
      </c>
      <c r="D17" s="44" t="n">
        <v>5.1938</v>
      </c>
      <c r="E17" s="44" t="n">
        <v>6.574278732</v>
      </c>
      <c r="F17" s="44" t="n">
        <v>7.51947875659957</v>
      </c>
      <c r="G17" s="44" t="n">
        <v>8.03133680108699</v>
      </c>
      <c r="H17" s="44" t="n">
        <v>7.6855808414528</v>
      </c>
      <c r="I17" s="44" t="n">
        <v>7.1117230629711</v>
      </c>
      <c r="J17" s="44" t="n">
        <v>6.05014111087407</v>
      </c>
      <c r="K17" s="44" t="n">
        <v>4.68647409599471</v>
      </c>
      <c r="L17" s="44" t="n">
        <v>4.06190884695501</v>
      </c>
      <c r="M17" s="44" t="n">
        <v>4.25324368481152</v>
      </c>
    </row>
    <row r="18" customFormat="false" ht="15" hidden="false" customHeight="false" outlineLevel="0" collapsed="false">
      <c r="A18" s="8" t="s">
        <v>187</v>
      </c>
      <c r="C18" s="44" t="n">
        <v>3.81</v>
      </c>
      <c r="D18" s="44" t="n">
        <v>5.1938</v>
      </c>
      <c r="E18" s="44" t="n">
        <v>6.27837846272</v>
      </c>
      <c r="F18" s="44" t="n">
        <v>6.59656852439386</v>
      </c>
      <c r="G18" s="44" t="n">
        <v>6.10213326915287</v>
      </c>
      <c r="H18" s="44" t="n">
        <v>4.699558739375</v>
      </c>
      <c r="I18" s="44" t="n">
        <v>3.92777292786386</v>
      </c>
      <c r="J18" s="44" t="n">
        <v>3.9696857803533</v>
      </c>
      <c r="K18" s="44" t="n">
        <v>4.19303105563291</v>
      </c>
      <c r="L18" s="44" t="n">
        <v>4.3589068309972</v>
      </c>
      <c r="M18" s="44" t="n">
        <v>4.43792230141252</v>
      </c>
    </row>
    <row r="19" customFormat="false" ht="15" hidden="false" customHeight="false" outlineLevel="0" collapsed="false">
      <c r="A19" s="8" t="s">
        <v>188</v>
      </c>
      <c r="C19" s="44" t="n">
        <v>3.81</v>
      </c>
      <c r="D19" s="44" t="n">
        <v>5.1938</v>
      </c>
      <c r="E19" s="44" t="n">
        <v>3.58459491</v>
      </c>
      <c r="F19" s="44" t="n">
        <v>3.3343072808622</v>
      </c>
      <c r="G19" s="44" t="n">
        <v>3.30924775110265</v>
      </c>
      <c r="H19" s="44" t="n">
        <v>3.19289514041655</v>
      </c>
      <c r="I19" s="44" t="n">
        <v>3.41170451664547</v>
      </c>
      <c r="J19" s="44" t="n">
        <v>3.48937598896748</v>
      </c>
      <c r="K19" s="44" t="n">
        <v>3.48711107922253</v>
      </c>
      <c r="L19" s="44" t="n">
        <v>3.56887838992367</v>
      </c>
      <c r="M19" s="44" t="n">
        <v>3.66218223443631</v>
      </c>
    </row>
    <row r="20" customFormat="false" ht="15" hidden="false" customHeight="false" outlineLevel="0" collapsed="false">
      <c r="A20" s="8" t="s">
        <v>189</v>
      </c>
      <c r="C20" s="44" t="n">
        <v>3.81</v>
      </c>
      <c r="D20" s="44" t="n">
        <v>5.1938</v>
      </c>
      <c r="E20" s="44" t="n">
        <v>5.868998732</v>
      </c>
      <c r="F20" s="44" t="n">
        <v>6.20749275659957</v>
      </c>
      <c r="G20" s="44" t="n">
        <v>6.03334247348699</v>
      </c>
      <c r="H20" s="44" t="n">
        <v>4.9450403293648</v>
      </c>
      <c r="I20" s="44" t="n">
        <v>4.14465704565979</v>
      </c>
      <c r="J20" s="44" t="n">
        <v>3.95701147417472</v>
      </c>
      <c r="K20" s="44" t="n">
        <v>4.11018896267203</v>
      </c>
      <c r="L20" s="44" t="n">
        <v>4.30713929859335</v>
      </c>
      <c r="M20" s="44" t="n">
        <v>4.41007956232115</v>
      </c>
    </row>
    <row r="21" customFormat="false" ht="15" hidden="false" customHeight="false" outlineLevel="0" collapsed="false">
      <c r="A21" s="8" t="s">
        <v>190</v>
      </c>
      <c r="C21" s="44" t="n">
        <v>3.81</v>
      </c>
      <c r="D21" s="44" t="n">
        <v>5.1938</v>
      </c>
      <c r="E21" s="44" t="n">
        <v>6.24729897080597</v>
      </c>
      <c r="F21" s="44" t="n">
        <v>6.57109683345429</v>
      </c>
      <c r="G21" s="44" t="n">
        <v>6.13932978951037</v>
      </c>
      <c r="H21" s="44" t="n">
        <v>4.61202310617313</v>
      </c>
      <c r="I21" s="44" t="n">
        <v>3.78179156789654</v>
      </c>
      <c r="J21" s="44" t="n">
        <v>3.8617458089918</v>
      </c>
      <c r="K21" s="44" t="n">
        <v>4.12663085418325</v>
      </c>
      <c r="L21" s="44" t="n">
        <v>4.30709846470751</v>
      </c>
      <c r="M21" s="44" t="n">
        <v>4.38642972295791</v>
      </c>
    </row>
    <row r="22" customFormat="false" ht="15" hidden="false" customHeight="false" outlineLevel="0" collapsed="false">
      <c r="A22" s="8" t="s">
        <v>191</v>
      </c>
      <c r="C22" s="44" t="n">
        <v>3.81</v>
      </c>
      <c r="D22" s="44" t="n">
        <v>5.1938</v>
      </c>
      <c r="E22" s="44" t="n">
        <v>5.524278732</v>
      </c>
      <c r="F22" s="44" t="n">
        <v>5.31947875659957</v>
      </c>
      <c r="G22" s="44" t="n">
        <v>4.58133680108699</v>
      </c>
      <c r="H22" s="44" t="n">
        <v>3.61427338363264</v>
      </c>
      <c r="I22" s="44" t="n">
        <v>3.5576292689221</v>
      </c>
      <c r="J22" s="44" t="n">
        <v>3.75906955311889</v>
      </c>
      <c r="K22" s="44" t="n">
        <v>3.86665121330012</v>
      </c>
      <c r="L22" s="44" t="n">
        <v>3.96370363270418</v>
      </c>
      <c r="M22" s="44" t="n">
        <v>4.05035203936817</v>
      </c>
    </row>
    <row r="23" customFormat="false" ht="15" hidden="false" customHeight="false" outlineLevel="0" collapsed="false">
      <c r="A23" s="8" t="s">
        <v>192</v>
      </c>
      <c r="C23" s="44" t="n">
        <v>3.81</v>
      </c>
      <c r="D23" s="44" t="n">
        <v>5.1938</v>
      </c>
      <c r="E23" s="44" t="n">
        <v>3.66176996313433</v>
      </c>
      <c r="F23" s="44" t="n">
        <v>3.18563329291244</v>
      </c>
      <c r="G23" s="44" t="n">
        <v>3.13660462467239</v>
      </c>
      <c r="H23" s="44" t="n">
        <v>3.06515933597149</v>
      </c>
      <c r="I23" s="44" t="n">
        <v>3.31324736945025</v>
      </c>
      <c r="J23" s="44" t="n">
        <v>3.39436974896494</v>
      </c>
      <c r="K23" s="44" t="n">
        <v>3.38981641147676</v>
      </c>
      <c r="L23" s="44" t="n">
        <v>3.47441164774108</v>
      </c>
      <c r="M23" s="44" t="n">
        <v>3.57481884482604</v>
      </c>
    </row>
    <row r="24" customFormat="false" ht="15" hidden="false" customHeight="false" outlineLevel="0" collapsed="false">
      <c r="A24" s="8" t="s">
        <v>193</v>
      </c>
      <c r="C24" s="44" t="n">
        <v>3.81</v>
      </c>
      <c r="D24" s="44" t="n">
        <v>5.1938</v>
      </c>
      <c r="E24" s="44" t="n">
        <v>6.874278732</v>
      </c>
      <c r="F24" s="44" t="n">
        <v>8.12387875659957</v>
      </c>
      <c r="G24" s="44" t="n">
        <v>8.80349680108699</v>
      </c>
      <c r="H24" s="44" t="n">
        <v>8.8951008414528</v>
      </c>
      <c r="I24" s="44" t="n">
        <v>8.4536430629711</v>
      </c>
      <c r="J24" s="44" t="n">
        <v>7.01406111087406</v>
      </c>
      <c r="K24" s="44" t="n">
        <v>5.01500059916988</v>
      </c>
      <c r="L24" s="44" t="n">
        <v>3.93686217747403</v>
      </c>
      <c r="M24" s="44" t="n">
        <v>3.93148460072935</v>
      </c>
    </row>
    <row r="26" customFormat="false" ht="15" hidden="false" customHeight="false" outlineLevel="0" collapsed="false">
      <c r="A26" s="20" t="s">
        <v>300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customFormat="false" ht="15" hidden="false" customHeight="false" outlineLevel="0" collapsed="false">
      <c r="A27" s="6" t="s">
        <v>173</v>
      </c>
      <c r="B27" s="7"/>
      <c r="C27" s="6" t="s">
        <v>40</v>
      </c>
      <c r="D27" s="6" t="s">
        <v>7</v>
      </c>
      <c r="E27" s="6" t="s">
        <v>8</v>
      </c>
      <c r="F27" s="6" t="s">
        <v>41</v>
      </c>
      <c r="G27" s="6" t="s">
        <v>9</v>
      </c>
      <c r="H27" s="6" t="s">
        <v>42</v>
      </c>
      <c r="I27" s="6" t="s">
        <v>10</v>
      </c>
      <c r="J27" s="6" t="s">
        <v>43</v>
      </c>
      <c r="K27" s="6" t="s">
        <v>44</v>
      </c>
      <c r="L27" s="6" t="s">
        <v>45</v>
      </c>
      <c r="M27" s="6" t="s">
        <v>11</v>
      </c>
    </row>
    <row r="28" customFormat="false" ht="15" hidden="false" customHeight="false" outlineLevel="0" collapsed="false">
      <c r="A28" s="8" t="s">
        <v>186</v>
      </c>
      <c r="C28" s="53" t="n">
        <v>6.96</v>
      </c>
      <c r="D28" s="53" t="n">
        <v>11.8</v>
      </c>
      <c r="E28" s="53" t="n">
        <v>12.755073313783</v>
      </c>
      <c r="F28" s="53" t="n">
        <v>13.318640580433</v>
      </c>
      <c r="G28" s="53" t="n">
        <v>13.6623474341216</v>
      </c>
      <c r="H28" s="53" t="n">
        <v>14.0229372490985</v>
      </c>
      <c r="I28" s="53" t="n">
        <v>14.2559674868645</v>
      </c>
      <c r="J28" s="53" t="n">
        <v>14.4928701723745</v>
      </c>
      <c r="K28" s="53" t="n">
        <v>15.3449460975315</v>
      </c>
      <c r="L28" s="53" t="n">
        <v>18.0114987754791</v>
      </c>
      <c r="M28" s="53" t="n">
        <v>19.6815268876207</v>
      </c>
    </row>
    <row r="29" customFormat="false" ht="15" hidden="false" customHeight="false" outlineLevel="0" collapsed="false">
      <c r="A29" s="8" t="s">
        <v>187</v>
      </c>
      <c r="C29" s="53" t="n">
        <v>6.96</v>
      </c>
      <c r="D29" s="53" t="n">
        <v>11.8</v>
      </c>
      <c r="E29" s="53" t="n">
        <v>12.2448703812317</v>
      </c>
      <c r="F29" s="53" t="n">
        <v>12.2796778915627</v>
      </c>
      <c r="G29" s="53" t="n">
        <v>12.1028889414288</v>
      </c>
      <c r="H29" s="53" t="n">
        <v>12.4223200278595</v>
      </c>
      <c r="I29" s="53" t="n">
        <v>14.5542043895874</v>
      </c>
      <c r="J29" s="53" t="n">
        <v>16.2730446714437</v>
      </c>
      <c r="K29" s="53" t="n">
        <v>17.1750081925321</v>
      </c>
      <c r="L29" s="53" t="n">
        <v>17.8429934238808</v>
      </c>
      <c r="M29" s="53" t="n">
        <v>18.7172960508619</v>
      </c>
    </row>
    <row r="30" customFormat="false" ht="15" hidden="false" customHeight="false" outlineLevel="0" collapsed="false">
      <c r="A30" s="8" t="s">
        <v>188</v>
      </c>
      <c r="C30" s="53" t="n">
        <v>6.96</v>
      </c>
      <c r="D30" s="53" t="n">
        <v>11.8</v>
      </c>
      <c r="E30" s="53" t="n">
        <v>13.2909853744118</v>
      </c>
      <c r="F30" s="53" t="n">
        <v>15.1485253514618</v>
      </c>
      <c r="G30" s="53" t="n">
        <v>16.8163367081527</v>
      </c>
      <c r="H30" s="53" t="n">
        <v>18.9609419937161</v>
      </c>
      <c r="I30" s="53" t="n">
        <v>19.7812631860044</v>
      </c>
      <c r="J30" s="53" t="n">
        <v>20.7106030603017</v>
      </c>
      <c r="K30" s="53" t="n">
        <v>22.1212022238484</v>
      </c>
      <c r="L30" s="53" t="n">
        <v>23.3822766522299</v>
      </c>
      <c r="M30" s="53" t="n">
        <v>24.5499125133203</v>
      </c>
    </row>
    <row r="31" customFormat="false" ht="15" hidden="false" customHeight="false" outlineLevel="0" collapsed="false">
      <c r="A31" s="8" t="s">
        <v>189</v>
      </c>
      <c r="C31" s="53" t="n">
        <v>6.96</v>
      </c>
      <c r="D31" s="53" t="n">
        <v>11.8</v>
      </c>
      <c r="E31" s="53" t="n">
        <v>12.755073313783</v>
      </c>
      <c r="F31" s="53" t="n">
        <v>13.318640580433</v>
      </c>
      <c r="G31" s="53" t="n">
        <v>13.6623474341216</v>
      </c>
      <c r="H31" s="53" t="n">
        <v>14.0229372490985</v>
      </c>
      <c r="I31" s="53" t="n">
        <v>15.7189827514584</v>
      </c>
      <c r="J31" s="53" t="n">
        <v>17.8695556532865</v>
      </c>
      <c r="K31" s="53" t="n">
        <v>19.2535890716814</v>
      </c>
      <c r="L31" s="53" t="n">
        <v>20.0335827857935</v>
      </c>
      <c r="M31" s="53" t="n">
        <v>20.931817864318</v>
      </c>
    </row>
    <row r="32" customFormat="false" ht="15" hidden="false" customHeight="false" outlineLevel="0" collapsed="false">
      <c r="A32" s="8" t="s">
        <v>190</v>
      </c>
      <c r="C32" s="53" t="n">
        <v>6.96</v>
      </c>
      <c r="D32" s="53" t="n">
        <v>11.8</v>
      </c>
      <c r="E32" s="53" t="n">
        <v>12.755073313783</v>
      </c>
      <c r="F32" s="53" t="n">
        <v>13.318640580433</v>
      </c>
      <c r="G32" s="53" t="n">
        <v>13.6623474341216</v>
      </c>
      <c r="H32" s="53" t="n">
        <v>14.2918157294448</v>
      </c>
      <c r="I32" s="53" t="n">
        <v>17.3444398423074</v>
      </c>
      <c r="J32" s="53" t="n">
        <v>19.963843480864</v>
      </c>
      <c r="K32" s="53" t="n">
        <v>21.5849009220078</v>
      </c>
      <c r="L32" s="53" t="n">
        <v>22.974925016521</v>
      </c>
      <c r="M32" s="53" t="n">
        <v>24.7214704731984</v>
      </c>
    </row>
    <row r="33" customFormat="false" ht="15" hidden="false" customHeight="false" outlineLevel="0" collapsed="false">
      <c r="A33" s="8" t="s">
        <v>191</v>
      </c>
      <c r="C33" s="53" t="n">
        <v>6.96</v>
      </c>
      <c r="D33" s="53" t="n">
        <v>11.8</v>
      </c>
      <c r="E33" s="53" t="n">
        <v>12.755073313783</v>
      </c>
      <c r="F33" s="53" t="n">
        <v>13.318640580433</v>
      </c>
      <c r="G33" s="53" t="n">
        <v>13.6623474341216</v>
      </c>
      <c r="H33" s="53" t="n">
        <v>15.8517020645271</v>
      </c>
      <c r="I33" s="53" t="n">
        <v>17.8495998796883</v>
      </c>
      <c r="J33" s="53" t="n">
        <v>18.8947284691093</v>
      </c>
      <c r="K33" s="53" t="n">
        <v>19.8156545982172</v>
      </c>
      <c r="L33" s="53" t="n">
        <v>20.755402929046</v>
      </c>
      <c r="M33" s="53" t="n">
        <v>21.7830801109328</v>
      </c>
    </row>
    <row r="34" customFormat="false" ht="15" hidden="false" customHeight="false" outlineLevel="0" collapsed="false">
      <c r="A34" s="8" t="s">
        <v>192</v>
      </c>
      <c r="C34" s="53" t="n">
        <v>6.96</v>
      </c>
      <c r="D34" s="53" t="n">
        <v>11.8</v>
      </c>
      <c r="E34" s="53" t="n">
        <v>13.2176145604448</v>
      </c>
      <c r="F34" s="53" t="n">
        <v>15.8112725704997</v>
      </c>
      <c r="G34" s="53" t="n">
        <v>18.2325890068867</v>
      </c>
      <c r="H34" s="53" t="n">
        <v>20.9199173843328</v>
      </c>
      <c r="I34" s="53" t="n">
        <v>22.0411782627538</v>
      </c>
      <c r="J34" s="53" t="n">
        <v>23.3551759309867</v>
      </c>
      <c r="K34" s="53" t="n">
        <v>25.3032496660019</v>
      </c>
      <c r="L34" s="53" t="n">
        <v>27.1309092221361</v>
      </c>
      <c r="M34" s="53" t="n">
        <v>28.8658529795114</v>
      </c>
    </row>
    <row r="35" customFormat="false" ht="15" hidden="false" customHeight="false" outlineLevel="0" collapsed="false">
      <c r="A35" s="8" t="s">
        <v>193</v>
      </c>
      <c r="C35" s="53" t="n">
        <v>6.96</v>
      </c>
      <c r="D35" s="53" t="n">
        <v>11.8</v>
      </c>
      <c r="E35" s="53" t="n">
        <v>12.755073313783</v>
      </c>
      <c r="F35" s="53" t="n">
        <v>13.318640580433</v>
      </c>
      <c r="G35" s="53" t="n">
        <v>13.6623474341216</v>
      </c>
      <c r="H35" s="53" t="n">
        <v>14.0229372490985</v>
      </c>
      <c r="I35" s="53" t="n">
        <v>14.2559674868645</v>
      </c>
      <c r="J35" s="53" t="n">
        <v>14.4928701723745</v>
      </c>
      <c r="K35" s="53" t="n">
        <v>14.7337096571549</v>
      </c>
      <c r="L35" s="53" t="n">
        <v>17.8691123501524</v>
      </c>
      <c r="M35" s="53" t="n">
        <v>20.5619805838325</v>
      </c>
    </row>
    <row r="37" customFormat="false" ht="15" hidden="false" customHeight="false" outlineLevel="0" collapsed="false">
      <c r="A37" s="20" t="s">
        <v>14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customFormat="false" ht="15" hidden="false" customHeight="false" outlineLevel="0" collapsed="false">
      <c r="A38" s="6" t="s">
        <v>173</v>
      </c>
      <c r="B38" s="7"/>
      <c r="C38" s="6" t="s">
        <v>40</v>
      </c>
      <c r="D38" s="6" t="s">
        <v>7</v>
      </c>
      <c r="E38" s="6" t="s">
        <v>8</v>
      </c>
      <c r="F38" s="6" t="s">
        <v>41</v>
      </c>
      <c r="G38" s="6" t="s">
        <v>9</v>
      </c>
      <c r="H38" s="6" t="s">
        <v>42</v>
      </c>
      <c r="I38" s="6" t="s">
        <v>10</v>
      </c>
      <c r="J38" s="6" t="s">
        <v>43</v>
      </c>
      <c r="K38" s="6" t="s">
        <v>44</v>
      </c>
      <c r="L38" s="6" t="s">
        <v>45</v>
      </c>
      <c r="M38" s="6" t="s">
        <v>11</v>
      </c>
    </row>
    <row r="39" customFormat="false" ht="15" hidden="false" customHeight="false" outlineLevel="0" collapsed="false">
      <c r="A39" s="8" t="s">
        <v>186</v>
      </c>
      <c r="D39" s="41" t="n">
        <v>0.212920444991712</v>
      </c>
      <c r="E39" s="41" t="n">
        <v>0.200608464753688</v>
      </c>
      <c r="F39" s="41" t="n">
        <v>0.178254501178639</v>
      </c>
      <c r="G39" s="41" t="n">
        <v>0.1609780119437</v>
      </c>
      <c r="H39" s="41" t="n">
        <v>0.160229011658346</v>
      </c>
      <c r="I39" s="41" t="n">
        <v>0.154003528016859</v>
      </c>
      <c r="J39" s="41" t="n">
        <v>0.151245622966369</v>
      </c>
      <c r="K39" s="41" t="n">
        <v>0.148518076152939</v>
      </c>
      <c r="L39" s="41" t="n">
        <v>0.143082017133889</v>
      </c>
      <c r="M39" s="41" t="n">
        <v>0.142939983740314</v>
      </c>
    </row>
    <row r="40" customFormat="false" ht="15" hidden="false" customHeight="false" outlineLevel="0" collapsed="false">
      <c r="A40" s="8" t="s">
        <v>187</v>
      </c>
      <c r="D40" s="41" t="n">
        <v>0.212920444991712</v>
      </c>
      <c r="E40" s="41" t="n">
        <v>0.200109887631154</v>
      </c>
      <c r="F40" s="41" t="n">
        <v>0.176366038126826</v>
      </c>
      <c r="G40" s="41" t="n">
        <v>0.157951109718767</v>
      </c>
      <c r="H40" s="41" t="n">
        <v>0.155941502880889</v>
      </c>
      <c r="I40" s="41" t="n">
        <v>0.144603500123591</v>
      </c>
      <c r="J40" s="41" t="n">
        <v>0.141280539325497</v>
      </c>
      <c r="K40" s="41" t="n">
        <v>0.140884472305756</v>
      </c>
      <c r="L40" s="41" t="n">
        <v>0.140060426792343</v>
      </c>
      <c r="M40" s="41" t="n">
        <v>0.138821480723929</v>
      </c>
    </row>
    <row r="41" customFormat="false" ht="15" hidden="false" customHeight="false" outlineLevel="0" collapsed="false">
      <c r="A41" s="8" t="s">
        <v>188</v>
      </c>
      <c r="D41" s="41" t="n">
        <v>0.212920444991712</v>
      </c>
      <c r="E41" s="41" t="n">
        <v>0.204598057969725</v>
      </c>
      <c r="F41" s="41" t="n">
        <v>0.182326125200132</v>
      </c>
      <c r="G41" s="41" t="n">
        <v>0.16484293157439</v>
      </c>
      <c r="H41" s="41" t="n">
        <v>0.164463211702227</v>
      </c>
      <c r="I41" s="41" t="n">
        <v>0.160071962335499</v>
      </c>
      <c r="J41" s="41" t="n">
        <v>0.157529263963961</v>
      </c>
      <c r="K41" s="41" t="n">
        <v>0.156270391216019</v>
      </c>
      <c r="L41" s="41" t="n">
        <v>0.156008925517561</v>
      </c>
      <c r="M41" s="41" t="n">
        <v>0.156202900445026</v>
      </c>
    </row>
    <row r="42" customFormat="false" ht="15" hidden="false" customHeight="false" outlineLevel="0" collapsed="false">
      <c r="A42" s="8" t="s">
        <v>189</v>
      </c>
      <c r="D42" s="41" t="n">
        <v>0.212920444991712</v>
      </c>
      <c r="E42" s="41" t="n">
        <v>0.213844197895691</v>
      </c>
      <c r="F42" s="41" t="n">
        <v>0.192498040129894</v>
      </c>
      <c r="G42" s="41" t="n">
        <v>0.178464929900383</v>
      </c>
      <c r="H42" s="41" t="n">
        <v>0.180598242313796</v>
      </c>
      <c r="I42" s="41" t="n">
        <v>0.173027436441208</v>
      </c>
      <c r="J42" s="41" t="n">
        <v>0.171259378733622</v>
      </c>
      <c r="K42" s="41" t="n">
        <v>0.173970775578756</v>
      </c>
      <c r="L42" s="41" t="n">
        <v>0.17669259984944</v>
      </c>
      <c r="M42" s="41" t="n">
        <v>0.178503337227361</v>
      </c>
    </row>
    <row r="43" customFormat="false" ht="15" hidden="false" customHeight="false" outlineLevel="0" collapsed="false">
      <c r="A43" s="8" t="s">
        <v>190</v>
      </c>
      <c r="D43" s="41" t="n">
        <v>0.212920444991712</v>
      </c>
      <c r="E43" s="41" t="n">
        <v>0.220608464753688</v>
      </c>
      <c r="F43" s="41" t="n">
        <v>0.203275268899667</v>
      </c>
      <c r="G43" s="41" t="n">
        <v>0.191056929165402</v>
      </c>
      <c r="H43" s="41" t="n">
        <v>0.194282223285551</v>
      </c>
      <c r="I43" s="41" t="n">
        <v>0.185100632443309</v>
      </c>
      <c r="J43" s="41" t="n">
        <v>0.185816043708853</v>
      </c>
      <c r="K43" s="41" t="n">
        <v>0.190000426523206</v>
      </c>
      <c r="L43" s="41" t="n">
        <v>0.193354665716461</v>
      </c>
      <c r="M43" s="41" t="n">
        <v>0.196236340866692</v>
      </c>
    </row>
    <row r="44" customFormat="false" ht="15" hidden="false" customHeight="false" outlineLevel="0" collapsed="false">
      <c r="A44" s="8" t="s">
        <v>191</v>
      </c>
      <c r="D44" s="41" t="n">
        <v>0.212920444991712</v>
      </c>
      <c r="E44" s="41" t="n">
        <v>0.200608464753688</v>
      </c>
      <c r="F44" s="41" t="n">
        <v>0.178254501178639</v>
      </c>
      <c r="G44" s="41" t="n">
        <v>0.1609780119437</v>
      </c>
      <c r="H44" s="41" t="n">
        <v>0.155430635522367</v>
      </c>
      <c r="I44" s="41" t="n">
        <v>0.148180895330494</v>
      </c>
      <c r="J44" s="41" t="n">
        <v>0.146343399944736</v>
      </c>
      <c r="K44" s="41" t="n">
        <v>0.145113124710271</v>
      </c>
      <c r="L44" s="41" t="n">
        <v>0.143815676104386</v>
      </c>
      <c r="M44" s="41" t="n">
        <v>0.142836081587204</v>
      </c>
    </row>
    <row r="45" customFormat="false" ht="15" hidden="false" customHeight="false" outlineLevel="0" collapsed="false">
      <c r="A45" s="8" t="s">
        <v>192</v>
      </c>
      <c r="D45" s="41" t="n">
        <v>0.212920444991712</v>
      </c>
      <c r="E45" s="41" t="n">
        <v>0.214482336575443</v>
      </c>
      <c r="F45" s="41" t="n">
        <v>0.200212267078979</v>
      </c>
      <c r="G45" s="41" t="n">
        <v>0.184922303122567</v>
      </c>
      <c r="H45" s="41" t="n">
        <v>0.187649041288659</v>
      </c>
      <c r="I45" s="41" t="n">
        <v>0.185772511308436</v>
      </c>
      <c r="J45" s="41" t="n">
        <v>0.185615351455895</v>
      </c>
      <c r="K45" s="41" t="n">
        <v>0.186692854536156</v>
      </c>
      <c r="L45" s="41" t="n">
        <v>0.188823841706217</v>
      </c>
      <c r="M45" s="41" t="n">
        <v>0.191550889718696</v>
      </c>
    </row>
    <row r="46" customFormat="false" ht="15" hidden="false" customHeight="false" outlineLevel="0" collapsed="false">
      <c r="A46" s="8" t="s">
        <v>193</v>
      </c>
      <c r="D46" s="41" t="n">
        <v>0.212920444991712</v>
      </c>
      <c r="E46" s="41" t="n">
        <v>0.193122190352103</v>
      </c>
      <c r="F46" s="41" t="n">
        <v>0.169012100690357</v>
      </c>
      <c r="G46" s="41" t="n">
        <v>0.153352927688944</v>
      </c>
      <c r="H46" s="41" t="n">
        <v>0.145932262009626</v>
      </c>
      <c r="I46" s="41" t="n">
        <v>0.144257638326905</v>
      </c>
      <c r="J46" s="41" t="n">
        <v>0.151206162719337</v>
      </c>
      <c r="K46" s="41" t="n">
        <v>0.151689472415498</v>
      </c>
      <c r="L46" s="41" t="n">
        <v>0.143471539923367</v>
      </c>
      <c r="M46" s="41" t="n">
        <v>0.148982728669697</v>
      </c>
    </row>
    <row r="48" customFormat="false" ht="15" hidden="false" customHeight="false" outlineLevel="0" collapsed="false">
      <c r="A48" s="20" t="s">
        <v>18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customFormat="false" ht="15" hidden="false" customHeight="false" outlineLevel="0" collapsed="false">
      <c r="A49" s="6" t="s">
        <v>173</v>
      </c>
      <c r="B49" s="7"/>
      <c r="C49" s="6" t="s">
        <v>40</v>
      </c>
      <c r="D49" s="6" t="s">
        <v>7</v>
      </c>
      <c r="E49" s="6" t="s">
        <v>8</v>
      </c>
      <c r="F49" s="6" t="s">
        <v>41</v>
      </c>
      <c r="G49" s="6" t="s">
        <v>9</v>
      </c>
      <c r="H49" s="6" t="s">
        <v>42</v>
      </c>
      <c r="I49" s="6" t="s">
        <v>10</v>
      </c>
      <c r="J49" s="6" t="s">
        <v>43</v>
      </c>
      <c r="K49" s="6" t="s">
        <v>44</v>
      </c>
      <c r="L49" s="6" t="s">
        <v>45</v>
      </c>
      <c r="M49" s="6" t="s">
        <v>11</v>
      </c>
    </row>
    <row r="50" customFormat="false" ht="15" hidden="false" customHeight="false" outlineLevel="0" collapsed="false">
      <c r="A50" s="8" t="s">
        <v>186</v>
      </c>
      <c r="C50" s="41" t="n">
        <v>-0.0209705454545455</v>
      </c>
      <c r="D50" s="41" t="n">
        <v>0.0133543433515717</v>
      </c>
      <c r="E50" s="41" t="n">
        <v>0.0112912664954444</v>
      </c>
      <c r="F50" s="41" t="n">
        <v>-0.00534087739606192</v>
      </c>
      <c r="G50" s="41" t="n">
        <v>-0.0154678961626428</v>
      </c>
      <c r="H50" s="41" t="n">
        <v>-0.0230818615942789</v>
      </c>
      <c r="I50" s="41" t="n">
        <v>-0.0295688770502413</v>
      </c>
      <c r="J50" s="41" t="n">
        <v>-0.0358246384142606</v>
      </c>
      <c r="K50" s="41" t="n">
        <v>-0.0371616674970955</v>
      </c>
      <c r="L50" s="41" t="n">
        <v>-0.0221396361170129</v>
      </c>
      <c r="M50" s="41" t="n">
        <v>-0.00575903644323481</v>
      </c>
    </row>
    <row r="51" customFormat="false" ht="15" hidden="false" customHeight="false" outlineLevel="0" collapsed="false">
      <c r="A51" s="8" t="s">
        <v>187</v>
      </c>
      <c r="C51" s="41" t="n">
        <v>-0.0209705454545455</v>
      </c>
      <c r="D51" s="41" t="n">
        <v>0.0133543433515717</v>
      </c>
      <c r="E51" s="41" t="n">
        <v>0.00382611233633566</v>
      </c>
      <c r="F51" s="41" t="n">
        <v>-0.0192890221601465</v>
      </c>
      <c r="G51" s="41" t="n">
        <v>-0.0350309921733311</v>
      </c>
      <c r="H51" s="41" t="n">
        <v>-0.0411107695411205</v>
      </c>
      <c r="I51" s="41" t="n">
        <v>-0.030672748646778</v>
      </c>
      <c r="J51" s="41" t="n">
        <v>-0.0135523077298739</v>
      </c>
      <c r="K51" s="41" t="n">
        <v>-0.00692555131118229</v>
      </c>
      <c r="L51" s="41" t="n">
        <v>-0.00710256457498534</v>
      </c>
      <c r="M51" s="41" t="n">
        <v>-0.00755171638626576</v>
      </c>
    </row>
    <row r="52" customFormat="false" ht="15" hidden="false" customHeight="false" outlineLevel="0" collapsed="false">
      <c r="A52" s="8" t="s">
        <v>188</v>
      </c>
      <c r="C52" s="41" t="n">
        <v>-0.0209705454545455</v>
      </c>
      <c r="D52" s="41" t="n">
        <v>0.0133543433515717</v>
      </c>
      <c r="E52" s="41" t="n">
        <v>-0.0393060372876284</v>
      </c>
      <c r="F52" s="41" t="n">
        <v>-0.0380661040095668</v>
      </c>
      <c r="G52" s="41" t="n">
        <v>-0.0316070327886309</v>
      </c>
      <c r="H52" s="41" t="n">
        <v>-0.0215808187715443</v>
      </c>
      <c r="I52" s="41" t="n">
        <v>-0.0161792060901311</v>
      </c>
      <c r="J52" s="41" t="n">
        <v>-0.0166323370149756</v>
      </c>
      <c r="K52" s="41" t="n">
        <v>-0.0143493930228211</v>
      </c>
      <c r="L52" s="41" t="n">
        <v>-0.0110727196710537</v>
      </c>
      <c r="M52" s="41" t="n">
        <v>-0.00932134979690908</v>
      </c>
    </row>
    <row r="53" customFormat="false" ht="15" hidden="false" customHeight="false" outlineLevel="0" collapsed="false">
      <c r="A53" s="8" t="s">
        <v>189</v>
      </c>
      <c r="C53" s="41" t="n">
        <v>-0.0209705454545455</v>
      </c>
      <c r="D53" s="41" t="n">
        <v>0.0133543433515717</v>
      </c>
      <c r="E53" s="41" t="n">
        <v>-0.00630846553772233</v>
      </c>
      <c r="F53" s="41" t="n">
        <v>-0.0200163426246186</v>
      </c>
      <c r="G53" s="41" t="n">
        <v>-0.0313494097997927</v>
      </c>
      <c r="H53" s="41" t="n">
        <v>-0.0394712955724579</v>
      </c>
      <c r="I53" s="41" t="n">
        <v>-0.0349475164419463</v>
      </c>
      <c r="J53" s="41" t="n">
        <v>-0.0199166470735992</v>
      </c>
      <c r="K53" s="41" t="n">
        <v>-0.0092579805808035</v>
      </c>
      <c r="L53" s="41" t="n">
        <v>-0.00730899609135314</v>
      </c>
      <c r="M53" s="41" t="n">
        <v>-0.00798732837564676</v>
      </c>
    </row>
    <row r="54" customFormat="false" ht="15" hidden="false" customHeight="false" outlineLevel="0" collapsed="false">
      <c r="A54" s="8" t="s">
        <v>190</v>
      </c>
      <c r="C54" s="41" t="n">
        <v>-0.0209705454545455</v>
      </c>
      <c r="D54" s="41" t="n">
        <v>0.0133543433515717</v>
      </c>
      <c r="E54" s="41" t="n">
        <v>0.00313173244190003</v>
      </c>
      <c r="F54" s="41" t="n">
        <v>-0.0203718245445418</v>
      </c>
      <c r="G54" s="41" t="n">
        <v>-0.0373133958560768</v>
      </c>
      <c r="H54" s="41" t="n">
        <v>-0.049327712863369</v>
      </c>
      <c r="I54" s="41" t="n">
        <v>-0.0366041522240757</v>
      </c>
      <c r="J54" s="41" t="n">
        <v>-0.0150549530379261</v>
      </c>
      <c r="K54" s="41" t="n">
        <v>-0.00730505277931543</v>
      </c>
      <c r="L54" s="41" t="n">
        <v>-0.00829941006709101</v>
      </c>
      <c r="M54" s="41" t="n">
        <v>-0.00933305266243911</v>
      </c>
    </row>
    <row r="55" customFormat="false" ht="15" hidden="false" customHeight="false" outlineLevel="0" collapsed="false">
      <c r="A55" s="8" t="s">
        <v>191</v>
      </c>
      <c r="C55" s="41" t="n">
        <v>-0.0209705454545455</v>
      </c>
      <c r="D55" s="41" t="n">
        <v>0.0133543433515717</v>
      </c>
      <c r="E55" s="41" t="n">
        <v>0.0112912664954444</v>
      </c>
      <c r="F55" s="41" t="n">
        <v>-0.00534087739606192</v>
      </c>
      <c r="G55" s="41" t="n">
        <v>-0.0154678961626428</v>
      </c>
      <c r="H55" s="41" t="n">
        <v>-0.008290181332721</v>
      </c>
      <c r="I55" s="41" t="n">
        <v>0.00967052542973616</v>
      </c>
      <c r="J55" s="41" t="n">
        <v>0.0182010810782199</v>
      </c>
      <c r="K55" s="41" t="n">
        <v>0.0191082611705356</v>
      </c>
      <c r="L55" s="41" t="n">
        <v>0.0191618317289163</v>
      </c>
      <c r="M55" s="41" t="n">
        <v>0.0194443816897753</v>
      </c>
    </row>
    <row r="56" customFormat="false" ht="15" hidden="false" customHeight="false" outlineLevel="0" collapsed="false">
      <c r="A56" s="8" t="s">
        <v>192</v>
      </c>
      <c r="C56" s="41" t="n">
        <v>-0.0209705454545455</v>
      </c>
      <c r="D56" s="41" t="n">
        <v>0.0133543433515717</v>
      </c>
      <c r="E56" s="41" t="n">
        <v>-0.0305232246303097</v>
      </c>
      <c r="F56" s="41" t="n">
        <v>-0.0279121643307486</v>
      </c>
      <c r="G56" s="41" t="n">
        <v>-0.0152116705564937</v>
      </c>
      <c r="H56" s="41" t="n">
        <v>-0.00200152768138503</v>
      </c>
      <c r="I56" s="41" t="n">
        <v>0.00340213667527245</v>
      </c>
      <c r="J56" s="41" t="n">
        <v>0.00155403416218372</v>
      </c>
      <c r="K56" s="41" t="n">
        <v>0.0033632815315296</v>
      </c>
      <c r="L56" s="41" t="n">
        <v>0.00675889112114832</v>
      </c>
      <c r="M56" s="41" t="n">
        <v>0.0083903151599111</v>
      </c>
    </row>
    <row r="57" customFormat="false" ht="15" hidden="false" customHeight="false" outlineLevel="0" collapsed="false">
      <c r="A57" s="8" t="s">
        <v>193</v>
      </c>
      <c r="C57" s="41" t="n">
        <v>-0.0209705454545455</v>
      </c>
      <c r="D57" s="41" t="n">
        <v>0.0133543433515717</v>
      </c>
      <c r="E57" s="41" t="n">
        <v>0.0112912664954444</v>
      </c>
      <c r="F57" s="41" t="n">
        <v>-0.00571822203673712</v>
      </c>
      <c r="G57" s="41" t="n">
        <v>-0.0162142719412766</v>
      </c>
      <c r="H57" s="41" t="n">
        <v>-0.0240230090668922</v>
      </c>
      <c r="I57" s="41" t="n">
        <v>-0.0309944003414345</v>
      </c>
      <c r="J57" s="41" t="n">
        <v>-0.0373886986540007</v>
      </c>
      <c r="K57" s="41" t="n">
        <v>-0.0429153817455483</v>
      </c>
      <c r="L57" s="41" t="n">
        <v>-0.0264414559714858</v>
      </c>
      <c r="M57" s="41" t="n">
        <v>-0.000172511044172898</v>
      </c>
    </row>
    <row r="59" customFormat="false" ht="15" hidden="false" customHeight="false" outlineLevel="0" collapsed="false">
      <c r="A59" s="20" t="s">
        <v>301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customFormat="false" ht="15" hidden="false" customHeight="false" outlineLevel="0" collapsed="false">
      <c r="A60" s="6" t="s">
        <v>173</v>
      </c>
      <c r="B60" s="7"/>
      <c r="C60" s="6" t="s">
        <v>40</v>
      </c>
      <c r="D60" s="6" t="s">
        <v>7</v>
      </c>
      <c r="E60" s="6" t="s">
        <v>8</v>
      </c>
      <c r="F60" s="6" t="s">
        <v>41</v>
      </c>
      <c r="G60" s="6" t="s">
        <v>9</v>
      </c>
      <c r="H60" s="6" t="s">
        <v>42</v>
      </c>
      <c r="I60" s="6" t="s">
        <v>10</v>
      </c>
      <c r="J60" s="6" t="s">
        <v>43</v>
      </c>
      <c r="K60" s="6" t="s">
        <v>44</v>
      </c>
      <c r="L60" s="6" t="s">
        <v>45</v>
      </c>
      <c r="M60" s="6" t="s">
        <v>11</v>
      </c>
    </row>
    <row r="61" customFormat="false" ht="15" hidden="false" customHeight="false" outlineLevel="0" collapsed="false">
      <c r="A61" s="8" t="s">
        <v>186</v>
      </c>
      <c r="D61" s="41" t="n">
        <v>0.121926470588235</v>
      </c>
      <c r="E61" s="41" t="n">
        <v>0.138600177874856</v>
      </c>
      <c r="F61" s="41" t="n">
        <v>0.151676953061712</v>
      </c>
      <c r="G61" s="41" t="n">
        <v>0.151102169892699</v>
      </c>
      <c r="H61" s="41" t="n">
        <v>0.170237432402163</v>
      </c>
      <c r="I61" s="41" t="n">
        <v>0.157708927887282</v>
      </c>
      <c r="J61" s="41" t="n">
        <v>0.162666736695962</v>
      </c>
      <c r="K61" s="41" t="n">
        <v>0.170455889628059</v>
      </c>
      <c r="L61" s="41" t="n">
        <v>0.169112455935799</v>
      </c>
      <c r="M61" s="41" t="n">
        <v>0.167822685010964</v>
      </c>
    </row>
    <row r="62" customFormat="false" ht="15" hidden="false" customHeight="false" outlineLevel="0" collapsed="false">
      <c r="A62" s="8" t="s">
        <v>187</v>
      </c>
      <c r="D62" s="41" t="n">
        <v>0.121926470588235</v>
      </c>
      <c r="E62" s="41" t="n">
        <v>0.138832885765102</v>
      </c>
      <c r="F62" s="41" t="n">
        <v>0.152209006570089</v>
      </c>
      <c r="G62" s="41" t="n">
        <v>0.151910881392362</v>
      </c>
      <c r="H62" s="41" t="n">
        <v>0.171175630817405</v>
      </c>
      <c r="I62" s="41" t="n">
        <v>0.158600688967464</v>
      </c>
      <c r="J62" s="41" t="n">
        <v>0.163020999759125</v>
      </c>
      <c r="K62" s="41" t="n">
        <v>0.170408912492439</v>
      </c>
      <c r="L62" s="41" t="n">
        <v>0.169078976642975</v>
      </c>
      <c r="M62" s="41" t="n">
        <v>0.168392835605868</v>
      </c>
    </row>
    <row r="63" customFormat="false" ht="15" hidden="false" customHeight="false" outlineLevel="0" collapsed="false">
      <c r="A63" s="8" t="s">
        <v>188</v>
      </c>
      <c r="D63" s="41" t="n">
        <v>0.121926470588235</v>
      </c>
      <c r="E63" s="41" t="n">
        <v>0.169734543145144</v>
      </c>
      <c r="F63" s="41" t="n">
        <v>0.185274357236631</v>
      </c>
      <c r="G63" s="41" t="n">
        <v>0.184377935825544</v>
      </c>
      <c r="H63" s="41" t="n">
        <v>0.207368863460984</v>
      </c>
      <c r="I63" s="41" t="n">
        <v>0.191493572214426</v>
      </c>
      <c r="J63" s="41" t="n">
        <v>0.19728895908761</v>
      </c>
      <c r="K63" s="41" t="n">
        <v>0.206449717563585</v>
      </c>
      <c r="L63" s="41" t="n">
        <v>0.204587372408854</v>
      </c>
      <c r="M63" s="41" t="n">
        <v>0.203473857650872</v>
      </c>
    </row>
    <row r="64" customFormat="false" ht="15" hidden="false" customHeight="false" outlineLevel="0" collapsed="false">
      <c r="A64" s="8" t="s">
        <v>189</v>
      </c>
      <c r="D64" s="41" t="n">
        <v>0.121926470588235</v>
      </c>
      <c r="E64" s="41" t="n">
        <v>0.139776866008366</v>
      </c>
      <c r="F64" s="41" t="n">
        <v>0.151838837687671</v>
      </c>
      <c r="G64" s="41" t="n">
        <v>0.15208971175707</v>
      </c>
      <c r="H64" s="41" t="n">
        <v>0.171944484442416</v>
      </c>
      <c r="I64" s="41" t="n">
        <v>0.159697603407682</v>
      </c>
      <c r="J64" s="41" t="n">
        <v>0.164581466971511</v>
      </c>
      <c r="K64" s="41" t="n">
        <v>0.172106529793706</v>
      </c>
      <c r="L64" s="41" t="n">
        <v>0.170736389270339</v>
      </c>
      <c r="M64" s="41" t="n">
        <v>0.170047515872448</v>
      </c>
    </row>
    <row r="65" customFormat="false" ht="15" hidden="false" customHeight="false" outlineLevel="0" collapsed="false">
      <c r="A65" s="8" t="s">
        <v>190</v>
      </c>
      <c r="D65" s="41" t="n">
        <v>0.121926470588235</v>
      </c>
      <c r="E65" s="41" t="n">
        <v>0.138600177874856</v>
      </c>
      <c r="F65" s="41" t="n">
        <v>0.151676953061712</v>
      </c>
      <c r="G65" s="41" t="n">
        <v>0.151102169892699</v>
      </c>
      <c r="H65" s="41" t="n">
        <v>0.170237432402163</v>
      </c>
      <c r="I65" s="41" t="n">
        <v>0.157635222899088</v>
      </c>
      <c r="J65" s="41" t="n">
        <v>0.161801434477183</v>
      </c>
      <c r="K65" s="41" t="n">
        <v>0.168926624398053</v>
      </c>
      <c r="L65" s="41" t="n">
        <v>0.167439246979084</v>
      </c>
      <c r="M65" s="41" t="n">
        <v>0.166589243824385</v>
      </c>
    </row>
    <row r="66" customFormat="false" ht="15" hidden="false" customHeight="false" outlineLevel="0" collapsed="false">
      <c r="A66" s="8" t="s">
        <v>191</v>
      </c>
      <c r="D66" s="41" t="n">
        <v>0.121926470588235</v>
      </c>
      <c r="E66" s="41" t="n">
        <v>0.138600177874856</v>
      </c>
      <c r="F66" s="41" t="n">
        <v>0.151676953061712</v>
      </c>
      <c r="G66" s="41" t="n">
        <v>0.151102169892699</v>
      </c>
      <c r="H66" s="41" t="n">
        <v>0.170237432402163</v>
      </c>
      <c r="I66" s="41" t="n">
        <v>0.157208982248165</v>
      </c>
      <c r="J66" s="41" t="n">
        <v>0.16169005282646</v>
      </c>
      <c r="K66" s="41" t="n">
        <v>0.169218287261113</v>
      </c>
      <c r="L66" s="41" t="n">
        <v>0.167889120235466</v>
      </c>
      <c r="M66" s="41" t="n">
        <v>0.167132760425116</v>
      </c>
    </row>
    <row r="67" customFormat="false" ht="15" hidden="false" customHeight="false" outlineLevel="0" collapsed="false">
      <c r="A67" s="8" t="s">
        <v>192</v>
      </c>
      <c r="D67" s="41" t="n">
        <v>0.121926470588235</v>
      </c>
      <c r="E67" s="41" t="n">
        <v>0.161366909543973</v>
      </c>
      <c r="F67" s="41" t="n">
        <v>0.176775496129158</v>
      </c>
      <c r="G67" s="41" t="n">
        <v>0.175901243421827</v>
      </c>
      <c r="H67" s="41" t="n">
        <v>0.197774913110069</v>
      </c>
      <c r="I67" s="41" t="n">
        <v>0.182725299911064</v>
      </c>
      <c r="J67" s="41" t="n">
        <v>0.188325182253866</v>
      </c>
      <c r="K67" s="41" t="n">
        <v>0.197072674044466</v>
      </c>
      <c r="L67" s="41" t="n">
        <v>0.195235310449282</v>
      </c>
      <c r="M67" s="41" t="n">
        <v>0.194072421434734</v>
      </c>
    </row>
    <row r="68" customFormat="false" ht="15" hidden="false" customHeight="false" outlineLevel="0" collapsed="false">
      <c r="A68" s="8" t="s">
        <v>193</v>
      </c>
      <c r="D68" s="41" t="n">
        <v>0.121926470588235</v>
      </c>
      <c r="E68" s="41" t="n">
        <v>0.116051072970971</v>
      </c>
      <c r="F68" s="41" t="n">
        <v>0.128328797222818</v>
      </c>
      <c r="G68" s="41" t="n">
        <v>0.13838178657795</v>
      </c>
      <c r="H68" s="41" t="n">
        <v>0.137564916777723</v>
      </c>
      <c r="I68" s="41" t="n">
        <v>0.14799922603313</v>
      </c>
      <c r="J68" s="41" t="n">
        <v>0.189870381457373</v>
      </c>
      <c r="K68" s="41" t="n">
        <v>0.197453270418235</v>
      </c>
      <c r="L68" s="41" t="n">
        <v>0.186312164443775</v>
      </c>
      <c r="M68" s="41" t="n">
        <v>0.202644186203624</v>
      </c>
    </row>
    <row r="70" customFormat="false" ht="15" hidden="false" customHeight="false" outlineLevel="0" collapsed="false">
      <c r="A70" s="20" t="s">
        <v>22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customFormat="false" ht="15" hidden="false" customHeight="false" outlineLevel="0" collapsed="false">
      <c r="A71" s="6" t="s">
        <v>173</v>
      </c>
      <c r="B71" s="7"/>
      <c r="C71" s="6" t="s">
        <v>40</v>
      </c>
      <c r="D71" s="6" t="s">
        <v>7</v>
      </c>
      <c r="E71" s="6" t="s">
        <v>8</v>
      </c>
      <c r="F71" s="6" t="s">
        <v>41</v>
      </c>
      <c r="G71" s="6" t="s">
        <v>9</v>
      </c>
      <c r="H71" s="6" t="s">
        <v>42</v>
      </c>
      <c r="I71" s="6" t="s">
        <v>10</v>
      </c>
      <c r="J71" s="6" t="s">
        <v>43</v>
      </c>
      <c r="K71" s="6" t="s">
        <v>44</v>
      </c>
      <c r="L71" s="6" t="s">
        <v>45</v>
      </c>
      <c r="M71" s="6" t="s">
        <v>11</v>
      </c>
    </row>
    <row r="72" customFormat="false" ht="15" hidden="false" customHeight="false" outlineLevel="0" collapsed="false">
      <c r="A72" s="8" t="s">
        <v>186</v>
      </c>
      <c r="D72" s="41" t="n">
        <v>0</v>
      </c>
      <c r="E72" s="41" t="n">
        <v>0</v>
      </c>
      <c r="F72" s="41" t="n">
        <v>0</v>
      </c>
      <c r="G72" s="41" t="n">
        <v>0</v>
      </c>
      <c r="H72" s="41" t="n">
        <v>0</v>
      </c>
      <c r="I72" s="41" t="n">
        <v>0</v>
      </c>
      <c r="J72" s="41" t="n">
        <v>0</v>
      </c>
      <c r="K72" s="41" t="n">
        <v>0.041485576585918</v>
      </c>
      <c r="L72" s="41" t="n">
        <v>0.154587310563795</v>
      </c>
      <c r="M72" s="41" t="n">
        <v>0.0748583370277309</v>
      </c>
    </row>
    <row r="73" customFormat="false" ht="15" hidden="false" customHeight="false" outlineLevel="0" collapsed="false">
      <c r="A73" s="8" t="s">
        <v>187</v>
      </c>
      <c r="D73" s="41" t="n">
        <v>0</v>
      </c>
      <c r="E73" s="41" t="n">
        <v>0</v>
      </c>
      <c r="F73" s="41" t="n">
        <v>0</v>
      </c>
      <c r="G73" s="41" t="n">
        <v>0</v>
      </c>
      <c r="H73" s="41" t="n">
        <v>0</v>
      </c>
      <c r="I73" s="41" t="n">
        <v>0.152465811009511</v>
      </c>
      <c r="J73" s="41" t="n">
        <v>0.0998226046042747</v>
      </c>
      <c r="K73" s="41" t="n">
        <v>0.038174675201035</v>
      </c>
      <c r="L73" s="41" t="n">
        <v>0.0219109598986775</v>
      </c>
      <c r="M73" s="41" t="n">
        <v>0.0318526613022844</v>
      </c>
    </row>
    <row r="74" customFormat="false" ht="15" hidden="false" customHeight="false" outlineLevel="0" collapsed="false">
      <c r="A74" s="8" t="s">
        <v>188</v>
      </c>
      <c r="D74" s="41" t="n">
        <v>0</v>
      </c>
      <c r="E74" s="41" t="n">
        <v>0.0420156001808085</v>
      </c>
      <c r="F74" s="41" t="n">
        <v>0.0915314113040142</v>
      </c>
      <c r="G74" s="41" t="n">
        <v>0.0821702992211181</v>
      </c>
      <c r="H74" s="41" t="n">
        <v>0.0985374064805493</v>
      </c>
      <c r="I74" s="41" t="n">
        <v>0.0262103866539581</v>
      </c>
      <c r="J74" s="41" t="n">
        <v>0.0298667059262955</v>
      </c>
      <c r="K74" s="41" t="n">
        <v>0.0506505090981397</v>
      </c>
      <c r="L74" s="41" t="n">
        <v>0.0397294924596518</v>
      </c>
      <c r="M74" s="41" t="n">
        <v>0.0327743626352542</v>
      </c>
    </row>
    <row r="75" customFormat="false" ht="15" hidden="false" customHeight="false" outlineLevel="0" collapsed="false">
      <c r="A75" s="8" t="s">
        <v>189</v>
      </c>
      <c r="D75" s="41" t="n">
        <v>0</v>
      </c>
      <c r="E75" s="41" t="n">
        <v>0</v>
      </c>
      <c r="F75" s="41" t="n">
        <v>0</v>
      </c>
      <c r="G75" s="41" t="n">
        <v>0</v>
      </c>
      <c r="H75" s="41" t="n">
        <v>0</v>
      </c>
      <c r="I75" s="41" t="n">
        <v>0.102624761591379</v>
      </c>
      <c r="J75" s="41" t="n">
        <v>0.118231212880784</v>
      </c>
      <c r="K75" s="41" t="n">
        <v>0.0598398365401916</v>
      </c>
      <c r="L75" s="41" t="n">
        <v>0.0235032380779077</v>
      </c>
      <c r="M75" s="41" t="n">
        <v>0.0277574096146697</v>
      </c>
    </row>
    <row r="76" customFormat="false" ht="15" hidden="false" customHeight="false" outlineLevel="0" collapsed="false">
      <c r="A76" s="8" t="s">
        <v>190</v>
      </c>
      <c r="D76" s="41" t="n">
        <v>0</v>
      </c>
      <c r="E76" s="41" t="n">
        <v>0</v>
      </c>
      <c r="F76" s="41" t="n">
        <v>0</v>
      </c>
      <c r="G76" s="41" t="n">
        <v>0</v>
      </c>
      <c r="H76" s="41" t="n">
        <v>0.019174191224708</v>
      </c>
      <c r="I76" s="41" t="n">
        <v>0.193754893237246</v>
      </c>
      <c r="J76" s="41" t="n">
        <v>0.132207877712168</v>
      </c>
      <c r="K76" s="41" t="n">
        <v>0.0635262108288063</v>
      </c>
      <c r="L76" s="41" t="n">
        <v>0.0469991703577813</v>
      </c>
      <c r="M76" s="41" t="n">
        <v>0.058430854335933</v>
      </c>
    </row>
    <row r="77" customFormat="false" ht="15" hidden="false" customHeight="false" outlineLevel="0" collapsed="false">
      <c r="A77" s="8" t="s">
        <v>191</v>
      </c>
      <c r="D77" s="41" t="n">
        <v>0</v>
      </c>
      <c r="E77" s="41" t="n">
        <v>0</v>
      </c>
      <c r="F77" s="41" t="n">
        <v>0</v>
      </c>
      <c r="G77" s="41" t="n">
        <v>0</v>
      </c>
      <c r="H77" s="41" t="n">
        <v>0.130412393847529</v>
      </c>
      <c r="I77" s="41" t="n">
        <v>0.107630429999915</v>
      </c>
      <c r="J77" s="41" t="n">
        <v>0.0412486809758371</v>
      </c>
      <c r="K77" s="41" t="n">
        <v>0.0315969817433047</v>
      </c>
      <c r="L77" s="41" t="n">
        <v>0.0303031786527905</v>
      </c>
      <c r="M77" s="41" t="n">
        <v>0.0323582059787645</v>
      </c>
    </row>
    <row r="78" customFormat="false" ht="15" hidden="false" customHeight="false" outlineLevel="0" collapsed="false">
      <c r="A78" s="8" t="s">
        <v>192</v>
      </c>
      <c r="D78" s="41" t="n">
        <v>0</v>
      </c>
      <c r="E78" s="41" t="n">
        <v>0.0362633154105046</v>
      </c>
      <c r="F78" s="41" t="n">
        <v>0.145610017027942</v>
      </c>
      <c r="G78" s="41" t="n">
        <v>0.124128841823833</v>
      </c>
      <c r="H78" s="41" t="n">
        <v>0.117887132973502</v>
      </c>
      <c r="I78" s="41" t="n">
        <v>0.0363754967864942</v>
      </c>
      <c r="J78" s="41" t="n">
        <v>0.0422949425955316</v>
      </c>
      <c r="K78" s="41" t="n">
        <v>0.0657011930760569</v>
      </c>
      <c r="L78" s="41" t="n">
        <v>0.0547033902077417</v>
      </c>
      <c r="M78" s="41" t="n">
        <v>0.0465556857431517</v>
      </c>
    </row>
    <row r="79" customFormat="false" ht="15" hidden="false" customHeight="false" outlineLevel="0" collapsed="false">
      <c r="A79" s="8" t="s">
        <v>193</v>
      </c>
      <c r="D79" s="41" t="n">
        <v>0</v>
      </c>
      <c r="E79" s="41" t="n">
        <v>0</v>
      </c>
      <c r="F79" s="41" t="n">
        <v>0</v>
      </c>
      <c r="G79" s="41" t="n">
        <v>0</v>
      </c>
      <c r="H79" s="41" t="n">
        <v>0</v>
      </c>
      <c r="I79" s="41" t="n">
        <v>0</v>
      </c>
      <c r="J79" s="41" t="n">
        <v>0</v>
      </c>
      <c r="K79" s="41" t="n">
        <v>0</v>
      </c>
      <c r="L79" s="41" t="n">
        <v>0.192980009759251</v>
      </c>
      <c r="M79" s="41" t="n">
        <v>0.131890095573496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"/>
    <col collapsed="false" customWidth="true" hidden="false" outlineLevel="0" max="13" min="3" style="0" width="9"/>
  </cols>
  <sheetData>
    <row r="1" customFormat="false" ht="17.35" hidden="false" customHeight="false" outlineLevel="0" collapsed="false">
      <c r="A1" s="17" t="s">
        <v>302</v>
      </c>
    </row>
    <row r="2" customFormat="false" ht="42" hidden="false" customHeight="true" outlineLevel="0" collapsed="false">
      <c r="A2" s="66" t="s">
        <v>303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4" customFormat="false" ht="15" hidden="false" customHeight="false" outlineLevel="0" collapsed="false">
      <c r="A4" s="20" t="s">
        <v>12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15" hidden="false" customHeight="false" outlineLevel="0" collapsed="false">
      <c r="A5" s="6" t="s">
        <v>304</v>
      </c>
      <c r="B5" s="7"/>
      <c r="C5" s="6" t="s">
        <v>40</v>
      </c>
      <c r="D5" s="6" t="s">
        <v>7</v>
      </c>
      <c r="E5" s="6" t="s">
        <v>8</v>
      </c>
      <c r="F5" s="6" t="s">
        <v>41</v>
      </c>
      <c r="G5" s="6" t="s">
        <v>9</v>
      </c>
      <c r="H5" s="6" t="s">
        <v>42</v>
      </c>
      <c r="I5" s="6" t="s">
        <v>10</v>
      </c>
      <c r="J5" s="6" t="s">
        <v>43</v>
      </c>
      <c r="K5" s="6" t="s">
        <v>44</v>
      </c>
      <c r="L5" s="6" t="s">
        <v>45</v>
      </c>
      <c r="M5" s="6" t="s">
        <v>11</v>
      </c>
    </row>
    <row r="6" customFormat="false" ht="15" hidden="false" customHeight="false" outlineLevel="0" collapsed="false">
      <c r="A6" s="8" t="s">
        <v>305</v>
      </c>
      <c r="C6" s="41" t="n">
        <v>0.833075862068965</v>
      </c>
      <c r="D6" s="41" t="n">
        <v>1.00199023268773</v>
      </c>
      <c r="E6" s="41" t="n">
        <v>0.969954002045211</v>
      </c>
      <c r="F6" s="41" t="n">
        <v>0.93075420214764</v>
      </c>
      <c r="G6" s="41" t="n">
        <v>0.88670310569192</v>
      </c>
      <c r="H6" s="41" t="n">
        <v>0.85103222568111</v>
      </c>
      <c r="I6" s="41" t="n">
        <v>0.819947536797823</v>
      </c>
      <c r="J6" s="41" t="n">
        <v>0.791987148887626</v>
      </c>
      <c r="K6" s="41" t="n">
        <v>0.766848346877816</v>
      </c>
      <c r="L6" s="41" t="n">
        <v>0.743437519167399</v>
      </c>
      <c r="M6" s="41" t="n">
        <v>0.722935054778517</v>
      </c>
    </row>
    <row r="7" customFormat="false" ht="15" hidden="false" customHeight="false" outlineLevel="0" collapsed="false">
      <c r="A7" s="8" t="s">
        <v>306</v>
      </c>
      <c r="C7" s="41" t="n">
        <v>0.833075862068965</v>
      </c>
      <c r="D7" s="41" t="n">
        <v>1.00199023268773</v>
      </c>
      <c r="E7" s="41" t="n">
        <v>0.980614589277356</v>
      </c>
      <c r="F7" s="41" t="n">
        <v>0.949431040140265</v>
      </c>
      <c r="G7" s="41" t="n">
        <v>0.911872227864184</v>
      </c>
      <c r="H7" s="41" t="n">
        <v>0.882318040005289</v>
      </c>
      <c r="I7" s="41" t="n">
        <v>0.855584607823741</v>
      </c>
      <c r="J7" s="41" t="n">
        <v>0.832143451326963</v>
      </c>
      <c r="K7" s="41" t="n">
        <v>0.810877181410123</v>
      </c>
      <c r="L7" s="41" t="n">
        <v>0.794240075566856</v>
      </c>
      <c r="M7" s="41" t="n">
        <v>0.777765688560892</v>
      </c>
    </row>
    <row r="8" customFormat="false" ht="15" hidden="false" customHeight="false" outlineLevel="0" collapsed="false">
      <c r="A8" s="8" t="s">
        <v>307</v>
      </c>
      <c r="C8" s="41" t="n">
        <v>0.833075862068965</v>
      </c>
      <c r="D8" s="41" t="n">
        <v>1.00199023268773</v>
      </c>
      <c r="E8" s="41" t="n">
        <v>0.992692789743258</v>
      </c>
      <c r="F8" s="41" t="n">
        <v>0.970183773157975</v>
      </c>
      <c r="G8" s="41" t="n">
        <v>0.942026739311939</v>
      </c>
      <c r="H8" s="41" t="n">
        <v>0.918271381282966</v>
      </c>
      <c r="I8" s="41" t="n">
        <v>0.899135726999243</v>
      </c>
      <c r="J8" s="41" t="n">
        <v>0.88165807914377</v>
      </c>
      <c r="K8" s="41" t="n">
        <v>0.86539201584317</v>
      </c>
      <c r="L8" s="41" t="n">
        <v>0.851187659857454</v>
      </c>
      <c r="M8" s="41" t="n">
        <v>0.837276659649948</v>
      </c>
    </row>
    <row r="9" customFormat="false" ht="15" hidden="false" customHeight="false" outlineLevel="0" collapsed="false">
      <c r="A9" s="8" t="s">
        <v>308</v>
      </c>
      <c r="C9" s="41" t="n">
        <v>0.833075862068965</v>
      </c>
      <c r="D9" s="41" t="n">
        <v>1.00199023268773</v>
      </c>
      <c r="E9" s="41" t="n">
        <v>1.00590883069722</v>
      </c>
      <c r="F9" s="41" t="n">
        <v>0.992669746335205</v>
      </c>
      <c r="G9" s="41" t="n">
        <v>0.972193530311292</v>
      </c>
      <c r="H9" s="41" t="n">
        <v>0.958075663057684</v>
      </c>
      <c r="I9" s="41" t="n">
        <v>0.946256056744814</v>
      </c>
      <c r="J9" s="41" t="n">
        <v>0.934375992602256</v>
      </c>
      <c r="K9" s="41" t="n">
        <v>0.92346171236306</v>
      </c>
      <c r="L9" s="41" t="n">
        <v>0.912271135296055</v>
      </c>
      <c r="M9" s="41" t="n">
        <v>0.902811649934972</v>
      </c>
    </row>
    <row r="10" customFormat="false" ht="15" hidden="false" customHeight="false" outlineLevel="0" collapsed="false">
      <c r="A10" s="8" t="s">
        <v>309</v>
      </c>
      <c r="C10" s="41" t="n">
        <v>0.833075862068965</v>
      </c>
      <c r="D10" s="41" t="n">
        <v>1.00199023268773</v>
      </c>
      <c r="E10" s="41" t="n">
        <v>1.01691894133603</v>
      </c>
      <c r="F10" s="41" t="n">
        <v>1.01369904242015</v>
      </c>
      <c r="G10" s="41" t="n">
        <v>1.00182851816633</v>
      </c>
      <c r="H10" s="41" t="n">
        <v>0.996506246805071</v>
      </c>
      <c r="I10" s="41" t="n">
        <v>0.990553845509664</v>
      </c>
      <c r="J10" s="41" t="n">
        <v>0.982847628007975</v>
      </c>
      <c r="K10" s="41" t="n">
        <v>0.974819952326335</v>
      </c>
      <c r="L10" s="41" t="n">
        <v>0.969566370121473</v>
      </c>
      <c r="M10" s="41" t="n">
        <v>0.962039956158487</v>
      </c>
    </row>
    <row r="12" customFormat="false" ht="15" hidden="false" customHeight="false" outlineLevel="0" collapsed="false">
      <c r="A12" s="20" t="s">
        <v>19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customFormat="false" ht="15" hidden="false" customHeight="false" outlineLevel="0" collapsed="false">
      <c r="A13" s="6" t="s">
        <v>304</v>
      </c>
      <c r="B13" s="7"/>
      <c r="C13" s="6" t="s">
        <v>40</v>
      </c>
      <c r="D13" s="6" t="s">
        <v>7</v>
      </c>
      <c r="E13" s="6" t="s">
        <v>8</v>
      </c>
      <c r="F13" s="6" t="s">
        <v>41</v>
      </c>
      <c r="G13" s="6" t="s">
        <v>9</v>
      </c>
      <c r="H13" s="6" t="s">
        <v>42</v>
      </c>
      <c r="I13" s="6" t="s">
        <v>10</v>
      </c>
      <c r="J13" s="6" t="s">
        <v>43</v>
      </c>
      <c r="K13" s="6" t="s">
        <v>44</v>
      </c>
      <c r="L13" s="6" t="s">
        <v>45</v>
      </c>
      <c r="M13" s="6" t="s">
        <v>11</v>
      </c>
    </row>
    <row r="14" customFormat="false" ht="15" hidden="false" customHeight="false" outlineLevel="0" collapsed="false">
      <c r="A14" s="8" t="s">
        <v>305</v>
      </c>
      <c r="C14" s="44" t="n">
        <v>3.81</v>
      </c>
      <c r="D14" s="44" t="n">
        <v>5.1938</v>
      </c>
      <c r="E14" s="44" t="n">
        <v>4.55569377795482</v>
      </c>
      <c r="F14" s="44" t="n">
        <v>4.14876087812385</v>
      </c>
      <c r="G14" s="44" t="n">
        <v>3.82801730517832</v>
      </c>
      <c r="H14" s="44" t="n">
        <v>3.41873883140577</v>
      </c>
      <c r="I14" s="44" t="n">
        <v>3.36884013447891</v>
      </c>
      <c r="J14" s="44" t="n">
        <v>3.43538630562832</v>
      </c>
      <c r="K14" s="44" t="n">
        <v>3.48755639769301</v>
      </c>
      <c r="L14" s="44" t="n">
        <v>3.49786847374282</v>
      </c>
      <c r="M14" s="44" t="n">
        <v>3.61582890347588</v>
      </c>
    </row>
    <row r="15" customFormat="false" ht="15" hidden="false" customHeight="false" outlineLevel="0" collapsed="false">
      <c r="A15" s="8" t="s">
        <v>306</v>
      </c>
      <c r="C15" s="44" t="n">
        <v>3.81</v>
      </c>
      <c r="D15" s="44" t="n">
        <v>5.1938</v>
      </c>
      <c r="E15" s="44" t="n">
        <v>5.41978856498736</v>
      </c>
      <c r="F15" s="44" t="n">
        <v>5.59258908304746</v>
      </c>
      <c r="G15" s="44" t="n">
        <v>5.41308911141927</v>
      </c>
      <c r="H15" s="44" t="n">
        <v>4.70456182332982</v>
      </c>
      <c r="I15" s="44" t="n">
        <v>4.49938315121029</v>
      </c>
      <c r="J15" s="44" t="n">
        <v>4.55219214930717</v>
      </c>
      <c r="K15" s="44" t="n">
        <v>4.52520472916349</v>
      </c>
      <c r="L15" s="44" t="n">
        <v>4.58844253351086</v>
      </c>
      <c r="M15" s="44" t="n">
        <v>4.70396743284215</v>
      </c>
    </row>
    <row r="16" customFormat="false" ht="15" hidden="false" customHeight="false" outlineLevel="0" collapsed="false">
      <c r="A16" s="8" t="s">
        <v>307</v>
      </c>
      <c r="C16" s="44" t="n">
        <v>3.81</v>
      </c>
      <c r="D16" s="44" t="n">
        <v>5.1938</v>
      </c>
      <c r="E16" s="44" t="n">
        <v>6.5292202310509</v>
      </c>
      <c r="F16" s="44" t="n">
        <v>7.50719424461435</v>
      </c>
      <c r="G16" s="44" t="n">
        <v>8.03953865021816</v>
      </c>
      <c r="H16" s="44" t="n">
        <v>7.84884245827497</v>
      </c>
      <c r="I16" s="44" t="n">
        <v>7.72766932554521</v>
      </c>
      <c r="J16" s="44" t="n">
        <v>7.57962190574582</v>
      </c>
      <c r="K16" s="44" t="n">
        <v>7.55453407620164</v>
      </c>
      <c r="L16" s="44" t="n">
        <v>7.64295291712508</v>
      </c>
      <c r="M16" s="44" t="n">
        <v>7.72117375457067</v>
      </c>
    </row>
    <row r="17" customFormat="false" ht="15" hidden="false" customHeight="false" outlineLevel="0" collapsed="false">
      <c r="A17" s="8" t="s">
        <v>308</v>
      </c>
      <c r="C17" s="44" t="n">
        <v>3.81</v>
      </c>
      <c r="D17" s="44" t="n">
        <v>5.1938</v>
      </c>
      <c r="E17" s="44" t="n">
        <v>7.7514630583495</v>
      </c>
      <c r="F17" s="44" t="n">
        <v>9.64706042494035</v>
      </c>
      <c r="G17" s="44" t="n">
        <v>11.2622308908853</v>
      </c>
      <c r="H17" s="44" t="n">
        <v>12.0259931989409</v>
      </c>
      <c r="I17" s="44" t="n">
        <v>12.6594280022566</v>
      </c>
      <c r="J17" s="44" t="n">
        <v>12.9139773110479</v>
      </c>
      <c r="K17" s="44" t="n">
        <v>13.0985281680249</v>
      </c>
      <c r="L17" s="44" t="n">
        <v>13.2460355004691</v>
      </c>
      <c r="M17" s="44" t="n">
        <v>13.688942893655</v>
      </c>
    </row>
    <row r="18" customFormat="false" ht="15" hidden="false" customHeight="false" outlineLevel="0" collapsed="false">
      <c r="A18" s="8" t="s">
        <v>309</v>
      </c>
      <c r="C18" s="44" t="n">
        <v>3.81</v>
      </c>
      <c r="D18" s="44" t="n">
        <v>5.1938</v>
      </c>
      <c r="E18" s="44" t="n">
        <v>8.8813280927284</v>
      </c>
      <c r="F18" s="44" t="n">
        <v>11.7528601126176</v>
      </c>
      <c r="G18" s="44" t="n">
        <v>14.4997278490199</v>
      </c>
      <c r="H18" s="44" t="n">
        <v>16.4231205270649</v>
      </c>
      <c r="I18" s="44" t="n">
        <v>17.8480248340803</v>
      </c>
      <c r="J18" s="44" t="n">
        <v>19.0167156075886</v>
      </c>
      <c r="K18" s="44" t="n">
        <v>19.8567091300079</v>
      </c>
      <c r="L18" s="44" t="n">
        <v>20.3629051569956</v>
      </c>
      <c r="M18" s="44" t="n">
        <v>21.1599969943944</v>
      </c>
    </row>
    <row r="20" customFormat="false" ht="15" hidden="false" customHeight="false" outlineLevel="0" collapsed="false">
      <c r="A20" s="20" t="s">
        <v>21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customFormat="false" ht="15" hidden="false" customHeight="false" outlineLevel="0" collapsed="false">
      <c r="A21" s="6" t="s">
        <v>304</v>
      </c>
      <c r="B21" s="7"/>
      <c r="C21" s="6" t="s">
        <v>40</v>
      </c>
      <c r="D21" s="6" t="s">
        <v>7</v>
      </c>
      <c r="E21" s="6" t="s">
        <v>8</v>
      </c>
      <c r="F21" s="6" t="s">
        <v>41</v>
      </c>
      <c r="G21" s="6" t="s">
        <v>9</v>
      </c>
      <c r="H21" s="6" t="s">
        <v>42</v>
      </c>
      <c r="I21" s="6" t="s">
        <v>10</v>
      </c>
      <c r="J21" s="6" t="s">
        <v>43</v>
      </c>
      <c r="K21" s="6" t="s">
        <v>44</v>
      </c>
      <c r="L21" s="6" t="s">
        <v>45</v>
      </c>
      <c r="M21" s="6" t="s">
        <v>11</v>
      </c>
    </row>
    <row r="22" customFormat="false" ht="15" hidden="false" customHeight="false" outlineLevel="0" collapsed="false">
      <c r="A22" s="8" t="s">
        <v>305</v>
      </c>
      <c r="C22" s="53" t="n">
        <v>6.96</v>
      </c>
      <c r="D22" s="53" t="n">
        <v>11.8</v>
      </c>
      <c r="E22" s="53" t="n">
        <v>12.755073313783</v>
      </c>
      <c r="F22" s="53" t="n">
        <v>13.318640580433</v>
      </c>
      <c r="G22" s="53" t="n">
        <v>13.6623474341216</v>
      </c>
      <c r="H22" s="53" t="n">
        <v>14.0229372490985</v>
      </c>
      <c r="I22" s="53" t="n">
        <v>14.2559674868645</v>
      </c>
      <c r="J22" s="53" t="n">
        <v>14.4928701723745</v>
      </c>
      <c r="K22" s="53" t="n">
        <v>14.7337096571549</v>
      </c>
      <c r="L22" s="53" t="n">
        <v>14.9785513621125</v>
      </c>
      <c r="M22" s="53" t="n">
        <v>15.227461795305</v>
      </c>
    </row>
    <row r="23" customFormat="false" ht="15" hidden="false" customHeight="false" outlineLevel="0" collapsed="false">
      <c r="A23" s="8" t="s">
        <v>306</v>
      </c>
      <c r="C23" s="53" t="n">
        <v>6.96</v>
      </c>
      <c r="D23" s="53" t="n">
        <v>11.8</v>
      </c>
      <c r="E23" s="53" t="n">
        <v>12.755073313783</v>
      </c>
      <c r="F23" s="53" t="n">
        <v>13.318640580433</v>
      </c>
      <c r="G23" s="53" t="n">
        <v>13.6623474341216</v>
      </c>
      <c r="H23" s="53" t="n">
        <v>14.0229372490985</v>
      </c>
      <c r="I23" s="53" t="n">
        <v>14.2559674868645</v>
      </c>
      <c r="J23" s="53" t="n">
        <v>14.4928701723745</v>
      </c>
      <c r="K23" s="53" t="n">
        <v>14.7337096571549</v>
      </c>
      <c r="L23" s="53" t="n">
        <v>14.9785513621125</v>
      </c>
      <c r="M23" s="53" t="n">
        <v>15.227461795305</v>
      </c>
    </row>
    <row r="24" customFormat="false" ht="15" hidden="false" customHeight="false" outlineLevel="0" collapsed="false">
      <c r="A24" s="8" t="s">
        <v>307</v>
      </c>
      <c r="C24" s="53" t="n">
        <v>6.96</v>
      </c>
      <c r="D24" s="53" t="n">
        <v>11.8</v>
      </c>
      <c r="E24" s="53" t="n">
        <v>12.755073313783</v>
      </c>
      <c r="F24" s="53" t="n">
        <v>13.318640580433</v>
      </c>
      <c r="G24" s="53" t="n">
        <v>13.6623474341216</v>
      </c>
      <c r="H24" s="53" t="n">
        <v>14.0229372490985</v>
      </c>
      <c r="I24" s="53" t="n">
        <v>14.2559674868645</v>
      </c>
      <c r="J24" s="53" t="n">
        <v>14.4928701723745</v>
      </c>
      <c r="K24" s="53" t="n">
        <v>15.3448984385025</v>
      </c>
      <c r="L24" s="53" t="n">
        <v>17.3041538279138</v>
      </c>
      <c r="M24" s="53" t="n">
        <v>18.8714813006201</v>
      </c>
    </row>
    <row r="25" customFormat="false" ht="15" hidden="false" customHeight="false" outlineLevel="0" collapsed="false">
      <c r="A25" s="8" t="s">
        <v>308</v>
      </c>
      <c r="C25" s="53" t="n">
        <v>6.96</v>
      </c>
      <c r="D25" s="53" t="n">
        <v>11.8</v>
      </c>
      <c r="E25" s="53" t="n">
        <v>12.755073313783</v>
      </c>
      <c r="F25" s="53" t="n">
        <v>13.318640580433</v>
      </c>
      <c r="G25" s="53" t="n">
        <v>13.6623474341216</v>
      </c>
      <c r="H25" s="53" t="n">
        <v>14.6568599287601</v>
      </c>
      <c r="I25" s="53" t="n">
        <v>16.5362904484148</v>
      </c>
      <c r="J25" s="53" t="n">
        <v>18.2897586283091</v>
      </c>
      <c r="K25" s="53" t="n">
        <v>19.909396205103</v>
      </c>
      <c r="L25" s="53" t="n">
        <v>21.6004497049586</v>
      </c>
      <c r="M25" s="53" t="n">
        <v>23.0467388946551</v>
      </c>
    </row>
    <row r="26" customFormat="false" ht="15" hidden="false" customHeight="false" outlineLevel="0" collapsed="false">
      <c r="A26" s="8" t="s">
        <v>309</v>
      </c>
      <c r="C26" s="53" t="n">
        <v>6.96</v>
      </c>
      <c r="D26" s="53" t="n">
        <v>11.8</v>
      </c>
      <c r="E26" s="53" t="n">
        <v>12.755073313783</v>
      </c>
      <c r="F26" s="53" t="n">
        <v>13.473365629261</v>
      </c>
      <c r="G26" s="53" t="n">
        <v>15.2835816397424</v>
      </c>
      <c r="H26" s="53" t="n">
        <v>17.7221059468805</v>
      </c>
      <c r="I26" s="53" t="n">
        <v>19.8298135671828</v>
      </c>
      <c r="J26" s="53" t="n">
        <v>21.8870421622702</v>
      </c>
      <c r="K26" s="53" t="n">
        <v>23.5310089169845</v>
      </c>
      <c r="L26" s="53" t="n">
        <v>24.8959173368374</v>
      </c>
      <c r="M26" s="53" t="n">
        <v>26.4444374930866</v>
      </c>
    </row>
    <row r="28" customFormat="false" ht="15" hidden="false" customHeight="false" outlineLevel="0" collapsed="false">
      <c r="A28" s="20" t="s">
        <v>14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customFormat="false" ht="15" hidden="false" customHeight="false" outlineLevel="0" collapsed="false">
      <c r="A29" s="6" t="s">
        <v>304</v>
      </c>
      <c r="B29" s="7"/>
      <c r="C29" s="6" t="s">
        <v>40</v>
      </c>
      <c r="D29" s="6" t="s">
        <v>7</v>
      </c>
      <c r="E29" s="6" t="s">
        <v>8</v>
      </c>
      <c r="F29" s="6" t="s">
        <v>41</v>
      </c>
      <c r="G29" s="6" t="s">
        <v>9</v>
      </c>
      <c r="H29" s="6" t="s">
        <v>42</v>
      </c>
      <c r="I29" s="6" t="s">
        <v>10</v>
      </c>
      <c r="J29" s="6" t="s">
        <v>43</v>
      </c>
      <c r="K29" s="6" t="s">
        <v>44</v>
      </c>
      <c r="L29" s="6" t="s">
        <v>45</v>
      </c>
      <c r="M29" s="6" t="s">
        <v>11</v>
      </c>
    </row>
    <row r="30" customFormat="false" ht="15" hidden="false" customHeight="false" outlineLevel="0" collapsed="false">
      <c r="A30" s="8" t="s">
        <v>305</v>
      </c>
      <c r="D30" s="41" t="n">
        <v>0.212920444991712</v>
      </c>
      <c r="E30" s="41" t="n">
        <v>0.186895218553858</v>
      </c>
      <c r="F30" s="41" t="n">
        <v>0.159629711570616</v>
      </c>
      <c r="G30" s="41" t="n">
        <v>0.139106995869958</v>
      </c>
      <c r="H30" s="41" t="n">
        <v>0.13595343281559</v>
      </c>
      <c r="I30" s="41" t="n">
        <v>0.127222416518365</v>
      </c>
      <c r="J30" s="41" t="n">
        <v>0.12221999321898</v>
      </c>
      <c r="K30" s="41" t="n">
        <v>0.119786283926391</v>
      </c>
      <c r="L30" s="41" t="n">
        <v>0.117101854057105</v>
      </c>
      <c r="M30" s="41" t="n">
        <v>0.11474206741131</v>
      </c>
    </row>
    <row r="31" customFormat="false" ht="15" hidden="false" customHeight="false" outlineLevel="0" collapsed="false">
      <c r="A31" s="8" t="s">
        <v>306</v>
      </c>
      <c r="D31" s="41" t="n">
        <v>0.212920444991712</v>
      </c>
      <c r="E31" s="41" t="n">
        <v>0.193221064285376</v>
      </c>
      <c r="F31" s="41" t="n">
        <v>0.167745141434405</v>
      </c>
      <c r="G31" s="41" t="n">
        <v>0.14824162061339</v>
      </c>
      <c r="H31" s="41" t="n">
        <v>0.146205784290513</v>
      </c>
      <c r="I31" s="41" t="n">
        <v>0.138489576724913</v>
      </c>
      <c r="J31" s="41" t="n">
        <v>0.13448974129244</v>
      </c>
      <c r="K31" s="41" t="n">
        <v>0.1321992439486</v>
      </c>
      <c r="L31" s="41" t="n">
        <v>0.129992379949068</v>
      </c>
      <c r="M31" s="41" t="n">
        <v>0.128204521109542</v>
      </c>
    </row>
    <row r="32" customFormat="false" ht="15" hidden="false" customHeight="false" outlineLevel="0" collapsed="false">
      <c r="A32" s="8" t="s">
        <v>307</v>
      </c>
      <c r="D32" s="41" t="n">
        <v>0.212920444991712</v>
      </c>
      <c r="E32" s="41" t="n">
        <v>0.200310952306261</v>
      </c>
      <c r="F32" s="41" t="n">
        <v>0.177111882377343</v>
      </c>
      <c r="G32" s="41" t="n">
        <v>0.158626241133015</v>
      </c>
      <c r="H32" s="41" t="n">
        <v>0.157402272429982</v>
      </c>
      <c r="I32" s="41" t="n">
        <v>0.150832793516044</v>
      </c>
      <c r="J32" s="41" t="n">
        <v>0.147007815061275</v>
      </c>
      <c r="K32" s="41" t="n">
        <v>0.145697107059487</v>
      </c>
      <c r="L32" s="41" t="n">
        <v>0.144197147852694</v>
      </c>
      <c r="M32" s="41" t="n">
        <v>0.143159201557945</v>
      </c>
    </row>
    <row r="33" customFormat="false" ht="15" hidden="false" customHeight="false" outlineLevel="0" collapsed="false">
      <c r="A33" s="8" t="s">
        <v>308</v>
      </c>
      <c r="D33" s="41" t="n">
        <v>0.212920444991712</v>
      </c>
      <c r="E33" s="41" t="n">
        <v>0.207475301562114</v>
      </c>
      <c r="F33" s="41" t="n">
        <v>0.186927795842723</v>
      </c>
      <c r="G33" s="41" t="n">
        <v>0.170240580793117</v>
      </c>
      <c r="H33" s="41" t="n">
        <v>0.169291197535016</v>
      </c>
      <c r="I33" s="41" t="n">
        <v>0.163498497860623</v>
      </c>
      <c r="J33" s="41" t="n">
        <v>0.160602305821769</v>
      </c>
      <c r="K33" s="41" t="n">
        <v>0.159740721306528</v>
      </c>
      <c r="L33" s="41" t="n">
        <v>0.159062739082241</v>
      </c>
      <c r="M33" s="41" t="n">
        <v>0.158336320685306</v>
      </c>
    </row>
    <row r="34" customFormat="false" ht="15" hidden="false" customHeight="false" outlineLevel="0" collapsed="false">
      <c r="A34" s="8" t="s">
        <v>309</v>
      </c>
      <c r="D34" s="41" t="n">
        <v>0.212920444991712</v>
      </c>
      <c r="E34" s="41" t="n">
        <v>0.213445157970956</v>
      </c>
      <c r="F34" s="41" t="n">
        <v>0.195165686913732</v>
      </c>
      <c r="G34" s="41" t="n">
        <v>0.180327027926774</v>
      </c>
      <c r="H34" s="41" t="n">
        <v>0.180739074559633</v>
      </c>
      <c r="I34" s="41" t="n">
        <v>0.175650656978872</v>
      </c>
      <c r="J34" s="41" t="n">
        <v>0.17343412449779</v>
      </c>
      <c r="K34" s="41" t="n">
        <v>0.172686527597492</v>
      </c>
      <c r="L34" s="41" t="n">
        <v>0.172388133369521</v>
      </c>
      <c r="M34" s="41" t="n">
        <v>0.173329434338954</v>
      </c>
    </row>
    <row r="36" customFormat="false" ht="15" hidden="false" customHeight="false" outlineLevel="0" collapsed="false">
      <c r="A36" s="20" t="s">
        <v>310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customFormat="false" ht="15" hidden="false" customHeight="false" outlineLevel="0" collapsed="false">
      <c r="A37" s="8" t="s">
        <v>311</v>
      </c>
      <c r="C37" s="67" t="n">
        <v>0.092</v>
      </c>
    </row>
    <row r="38" customFormat="false" ht="15" hidden="false" customHeight="false" outlineLevel="0" collapsed="false">
      <c r="A38" s="8" t="s">
        <v>312</v>
      </c>
      <c r="C38" s="67" t="n">
        <v>0.0872</v>
      </c>
    </row>
    <row r="39" customFormat="false" ht="15" hidden="false" customHeight="false" outlineLevel="0" collapsed="false">
      <c r="A39" s="8" t="s">
        <v>313</v>
      </c>
      <c r="C39" s="67" t="n">
        <v>0.9366</v>
      </c>
    </row>
    <row r="40" customFormat="false" ht="15" hidden="false" customHeight="false" outlineLevel="0" collapsed="false">
      <c r="A40" s="8" t="s">
        <v>314</v>
      </c>
      <c r="C40" s="67" t="n">
        <v>0.6704</v>
      </c>
    </row>
    <row r="41" customFormat="false" ht="15" hidden="false" customHeight="false" outlineLevel="0" collapsed="false">
      <c r="A41" s="8" t="s">
        <v>315</v>
      </c>
      <c r="C41" s="67" t="n">
        <v>0.0564</v>
      </c>
    </row>
    <row r="42" customFormat="false" ht="15" hidden="false" customHeight="false" outlineLevel="0" collapsed="false">
      <c r="A42" s="8" t="s">
        <v>316</v>
      </c>
      <c r="C42" s="67" t="n">
        <v>0.2836</v>
      </c>
    </row>
    <row r="43" customFormat="false" ht="15" hidden="false" customHeight="false" outlineLevel="0" collapsed="false">
      <c r="A43" s="8" t="s">
        <v>317</v>
      </c>
      <c r="C43" s="67" t="n">
        <v>0.8738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7" t="s">
        <v>318</v>
      </c>
    </row>
    <row r="3" customFormat="false" ht="15" hidden="false" customHeight="false" outlineLevel="0" collapsed="false">
      <c r="A3" s="34" t="s">
        <v>319</v>
      </c>
      <c r="B3" s="34" t="s">
        <v>320</v>
      </c>
      <c r="C3" s="34" t="s">
        <v>321</v>
      </c>
    </row>
    <row r="4" customFormat="false" ht="39.55" hidden="false" customHeight="false" outlineLevel="0" collapsed="false">
      <c r="A4" s="68" t="s">
        <v>322</v>
      </c>
      <c r="B4" s="69" t="s">
        <v>323</v>
      </c>
      <c r="C4" s="69" t="s">
        <v>324</v>
      </c>
    </row>
    <row r="5" customFormat="false" ht="39.55" hidden="false" customHeight="false" outlineLevel="0" collapsed="false">
      <c r="A5" s="68" t="s">
        <v>325</v>
      </c>
      <c r="B5" s="69" t="s">
        <v>326</v>
      </c>
      <c r="C5" s="69" t="s">
        <v>327</v>
      </c>
    </row>
    <row r="6" customFormat="false" ht="39.55" hidden="false" customHeight="false" outlineLevel="0" collapsed="false">
      <c r="A6" s="68" t="s">
        <v>328</v>
      </c>
      <c r="B6" s="69" t="s">
        <v>329</v>
      </c>
      <c r="C6" s="69" t="s">
        <v>330</v>
      </c>
    </row>
    <row r="7" customFormat="false" ht="26.85" hidden="false" customHeight="false" outlineLevel="0" collapsed="false">
      <c r="A7" s="68" t="s">
        <v>331</v>
      </c>
      <c r="B7" s="69" t="s">
        <v>332</v>
      </c>
      <c r="C7" s="69" t="s">
        <v>333</v>
      </c>
    </row>
    <row r="8" customFormat="false" ht="26.85" hidden="false" customHeight="false" outlineLevel="0" collapsed="false">
      <c r="A8" s="68" t="s">
        <v>334</v>
      </c>
      <c r="B8" s="69" t="s">
        <v>335</v>
      </c>
      <c r="C8" s="69" t="s">
        <v>336</v>
      </c>
    </row>
    <row r="9" customFormat="false" ht="26.85" hidden="false" customHeight="false" outlineLevel="0" collapsed="false">
      <c r="A9" s="68" t="s">
        <v>337</v>
      </c>
      <c r="B9" s="69" t="s">
        <v>338</v>
      </c>
      <c r="C9" s="69" t="s">
        <v>339</v>
      </c>
    </row>
    <row r="10" customFormat="false" ht="26.85" hidden="false" customHeight="false" outlineLevel="0" collapsed="false">
      <c r="A10" s="68" t="s">
        <v>340</v>
      </c>
      <c r="B10" s="69" t="s">
        <v>341</v>
      </c>
      <c r="C10" s="69" t="s">
        <v>342</v>
      </c>
    </row>
    <row r="11" customFormat="false" ht="39.55" hidden="false" customHeight="false" outlineLevel="0" collapsed="false">
      <c r="A11" s="68" t="s">
        <v>343</v>
      </c>
      <c r="B11" s="69" t="s">
        <v>344</v>
      </c>
      <c r="C11" s="69" t="s">
        <v>345</v>
      </c>
    </row>
    <row r="13" customFormat="false" ht="15" hidden="false" customHeight="false" outlineLevel="0" collapsed="false">
      <c r="A13" s="3" t="s">
        <v>346</v>
      </c>
    </row>
    <row r="14" customFormat="false" ht="30" hidden="false" customHeight="true" outlineLevel="0" collapsed="false">
      <c r="A14" s="70" t="s">
        <v>347</v>
      </c>
      <c r="B14" s="70"/>
      <c r="C14" s="70"/>
    </row>
    <row r="15" customFormat="false" ht="30" hidden="false" customHeight="true" outlineLevel="0" collapsed="false">
      <c r="A15" s="70" t="s">
        <v>348</v>
      </c>
      <c r="B15" s="70"/>
      <c r="C15" s="70"/>
    </row>
    <row r="16" customFormat="false" ht="30" hidden="false" customHeight="true" outlineLevel="0" collapsed="false">
      <c r="A16" s="70" t="s">
        <v>349</v>
      </c>
      <c r="B16" s="70"/>
      <c r="C16" s="70"/>
    </row>
    <row r="17" customFormat="false" ht="30" hidden="false" customHeight="true" outlineLevel="0" collapsed="false">
      <c r="A17" s="70" t="s">
        <v>350</v>
      </c>
      <c r="B17" s="70"/>
      <c r="C17" s="70"/>
    </row>
    <row r="18" customFormat="false" ht="30" hidden="false" customHeight="true" outlineLevel="0" collapsed="false">
      <c r="A18" s="70" t="s">
        <v>351</v>
      </c>
      <c r="B18" s="70"/>
      <c r="C18" s="70"/>
    </row>
    <row r="19" customFormat="false" ht="30" hidden="false" customHeight="true" outlineLevel="0" collapsed="false">
      <c r="A19" s="70" t="s">
        <v>352</v>
      </c>
      <c r="B19" s="70"/>
      <c r="C19" s="70"/>
    </row>
  </sheetData>
  <mergeCells count="6">
    <mergeCell ref="A14:C14"/>
    <mergeCell ref="A15:C15"/>
    <mergeCell ref="A16:C16"/>
    <mergeCell ref="A17:C17"/>
    <mergeCell ref="A18:C18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7" t="s">
        <v>353</v>
      </c>
    </row>
    <row r="3" customFormat="false" ht="15" hidden="false" customHeight="false" outlineLevel="0" collapsed="false">
      <c r="A3" s="6" t="s">
        <v>354</v>
      </c>
      <c r="B3" s="6" t="s">
        <v>355</v>
      </c>
    </row>
    <row r="4" customFormat="false" ht="15" hidden="false" customHeight="false" outlineLevel="0" collapsed="false">
      <c r="A4" s="8" t="s">
        <v>356</v>
      </c>
      <c r="B4" s="71" t="s">
        <v>357</v>
      </c>
    </row>
    <row r="5" customFormat="false" ht="15" hidden="false" customHeight="false" outlineLevel="0" collapsed="false">
      <c r="A5" s="8" t="s">
        <v>358</v>
      </c>
      <c r="B5" s="71" t="s">
        <v>359</v>
      </c>
    </row>
    <row r="6" customFormat="false" ht="15" hidden="false" customHeight="false" outlineLevel="0" collapsed="false">
      <c r="A6" s="8" t="s">
        <v>360</v>
      </c>
      <c r="B6" s="71" t="s">
        <v>361</v>
      </c>
    </row>
    <row r="7" customFormat="false" ht="15" hidden="false" customHeight="false" outlineLevel="0" collapsed="false">
      <c r="A7" s="8" t="s">
        <v>362</v>
      </c>
      <c r="B7" s="71" t="s">
        <v>363</v>
      </c>
    </row>
    <row r="8" customFormat="false" ht="15" hidden="false" customHeight="false" outlineLevel="0" collapsed="false">
      <c r="A8" s="8" t="s">
        <v>364</v>
      </c>
      <c r="B8" s="71" t="s">
        <v>365</v>
      </c>
    </row>
    <row r="9" customFormat="false" ht="15" hidden="false" customHeight="false" outlineLevel="0" collapsed="false">
      <c r="A9" s="8" t="s">
        <v>366</v>
      </c>
      <c r="B9" s="71" t="s">
        <v>367</v>
      </c>
    </row>
    <row r="10" customFormat="false" ht="15" hidden="false" customHeight="false" outlineLevel="0" collapsed="false">
      <c r="A10" s="8" t="s">
        <v>368</v>
      </c>
      <c r="B10" s="71" t="s">
        <v>369</v>
      </c>
    </row>
    <row r="11" customFormat="false" ht="15" hidden="false" customHeight="false" outlineLevel="0" collapsed="false">
      <c r="A11" s="8" t="s">
        <v>370</v>
      </c>
      <c r="B11" s="71" t="s">
        <v>371</v>
      </c>
    </row>
    <row r="12" customFormat="false" ht="15" hidden="false" customHeight="false" outlineLevel="0" collapsed="false">
      <c r="A12" s="8" t="s">
        <v>372</v>
      </c>
      <c r="B12" s="71" t="s">
        <v>373</v>
      </c>
    </row>
    <row r="13" customFormat="false" ht="15" hidden="false" customHeight="false" outlineLevel="0" collapsed="false">
      <c r="A13" s="8" t="s">
        <v>374</v>
      </c>
      <c r="B13" s="71" t="s">
        <v>375</v>
      </c>
    </row>
    <row r="14" customFormat="false" ht="15" hidden="false" customHeight="false" outlineLevel="0" collapsed="false">
      <c r="A14" s="8" t="s">
        <v>376</v>
      </c>
      <c r="B14" s="71" t="s">
        <v>377</v>
      </c>
    </row>
    <row r="15" customFormat="false" ht="15" hidden="false" customHeight="false" outlineLevel="0" collapsed="false">
      <c r="A15" s="8" t="s">
        <v>378</v>
      </c>
      <c r="B15" s="71" t="s">
        <v>379</v>
      </c>
    </row>
    <row r="16" customFormat="false" ht="15" hidden="false" customHeight="false" outlineLevel="0" collapsed="false">
      <c r="A16" s="8" t="s">
        <v>380</v>
      </c>
      <c r="B16" s="71" t="s">
        <v>381</v>
      </c>
    </row>
    <row r="17" customFormat="false" ht="15" hidden="false" customHeight="false" outlineLevel="0" collapsed="false">
      <c r="A17" s="8" t="s">
        <v>382</v>
      </c>
      <c r="B17" s="71" t="s">
        <v>383</v>
      </c>
    </row>
    <row r="18" customFormat="false" ht="15" hidden="false" customHeight="false" outlineLevel="0" collapsed="false">
      <c r="A18" s="8" t="s">
        <v>384</v>
      </c>
      <c r="B18" s="71" t="s">
        <v>385</v>
      </c>
    </row>
    <row r="19" customFormat="false" ht="15" hidden="false" customHeight="false" outlineLevel="0" collapsed="false">
      <c r="A19" s="8" t="s">
        <v>386</v>
      </c>
      <c r="B19" s="71" t="s">
        <v>387</v>
      </c>
    </row>
    <row r="20" customFormat="false" ht="15" hidden="false" customHeight="false" outlineLevel="0" collapsed="false">
      <c r="A20" s="8" t="s">
        <v>388</v>
      </c>
      <c r="B20" s="71" t="s">
        <v>389</v>
      </c>
    </row>
    <row r="21" customFormat="false" ht="15" hidden="false" customHeight="false" outlineLevel="0" collapsed="false">
      <c r="A21" s="8" t="s">
        <v>390</v>
      </c>
      <c r="B21" s="71" t="s">
        <v>391</v>
      </c>
    </row>
    <row r="22" customFormat="false" ht="15" hidden="false" customHeight="false" outlineLevel="0" collapsed="false">
      <c r="A22" s="8" t="s">
        <v>392</v>
      </c>
      <c r="B22" s="71" t="s">
        <v>393</v>
      </c>
    </row>
    <row r="23" customFormat="false" ht="15" hidden="false" customHeight="false" outlineLevel="0" collapsed="false">
      <c r="A23" s="8" t="s">
        <v>394</v>
      </c>
      <c r="B23" s="71" t="s">
        <v>395</v>
      </c>
    </row>
    <row r="25" customFormat="false" ht="15" hidden="false" customHeight="false" outlineLevel="0" collapsed="false">
      <c r="A25" s="2" t="s">
        <v>396</v>
      </c>
    </row>
  </sheetData>
  <hyperlinks>
    <hyperlink ref="B4" r:id="rId1" display="https://www.imf.org/en/news/articles/2026/07/29/pr26268-bolivia-imf-reaches-staff-level-agreement-on-an-extended-fund-facility-arrangement"/>
    <hyperlink ref="B5" r:id="rId2" display="https://www.riotimesonline.com/bolivia-imf-loan-approved-214-million-expats-2026/"/>
    <hyperlink ref="B6" r:id="rId3" display="https://fmbolivia.com.bo/nacional/deuda-publica-de-bolivia-llegaria-al-100-2-del-pib-en-2026-segun-informe-tecnico-del-fmi-21327"/>
    <hyperlink ref="B7" r:id="rId4" display="https://fmlapaz.bo/fmi-hace-publico-el-acuerdo-con-bolivia-us-1-900-millones-ajuste-del-85-del-pib-y-eliminacion-del-subsidio-a-los-combustibles-en-2027/"/>
    <hyperlink ref="B8" r:id="rId5" display="https://www.vision360.bo/noticias/2026/10/13/72357-fmi-bolivia-sera-la-unica-economia-de-sudamerica-que-se-contraera-en-2026-y-2027"/>
    <hyperlink ref="B9" r:id="rId6" display="https://unitel.bo/noticias/agencias/deuda-externa-publica-de-bolivia-llega-a-14117-millones-de-dolares-a-septiembre-de-2026-OC24040790"/>
    <hyperlink ref="B10" r:id="rId7" display="https://www.bcb.gob.bo/webdocs/publicacionesbcb/2026/03/31/BOP%202025%20(4).pdf"/>
    <hyperlink ref="B11" r:id="rId8" display="https://www.bcb.gob.bo/webdocs/publicacionesbcb/2026/02/03/Resumen%20de%20cifras%20(WEB).pdf"/>
    <hyperlink ref="B12" r:id="rId9" display="https://eju.tv/2026/10/bolivia-registro-un-saldo-comercial-superior-a-us-2-000-millones-entre-enero-y-agosto-de-este-ano-segun-el-ine/"/>
    <hyperlink ref="B13" r:id="rId10" display="https://www.ibce.org.bo//images/ibcecifras_documentos/Cifras_1.441_Exportaciones_junio_2026_1786634430.pdf"/>
    <hyperlink ref="B14" r:id="rId11" display="https://unitel.bo/noticias/economia/bolivia-registro-una-caida-cercana-a-us-540-millones-en-la-exportacion-de-gas-en-2025-segun-el-ine-PL19126328"/>
    <hyperlink ref="B15" r:id="rId12" display="https://correodelsur.com/economia/20260227/cepal-el-pib-nominal-de-bolivia-llego-a-us-55-000-millones-en-2025.html"/>
    <hyperlink ref="B16" r:id="rId13" display="https://www.dentons.com/en/insights/alerts/2026/july/1/bolivia-adopts-a-flexible-exchange-rate-regime"/>
    <hyperlink ref="B17" r:id="rId14" display="https://www.bcb.gob.bo/tiposDeCambioHistorico/pdf.php?anio=2026"/>
    <hyperlink ref="B18" r:id="rId15" display="https://eju.tv/2026/10/reservas-liquidas-del-bcb-crecen-a-mas-de-us-1-000-millones-tras-el-desembolso-del-fmi/"/>
    <hyperlink ref="B19" r:id="rId16" display="https://www.jubileobolivia.org.bo/Publicaciones/Presupuestos-y-Fiscalidad/Deuda-Interna:-El-BCB-es-el-mayor-acreedor-con-546"/>
    <hyperlink ref="B20" r:id="rId17" display="https://www.economiayfinanzas.gob.bo/viceministerios/vtcp/deuda-interna-tgn"/>
    <hyperlink ref="B21" r:id="rId18" display="https://riosmauricio.com/2026/04/algunas-medias-verdades-sobre-los-bonos-soberanos-2028-de-bolivia/"/>
    <hyperlink ref="B22" r:id="rId19" display="https://www.infobae.com/america/america-latina/2026/09/19/el-congreso-de-bolivia-aprobo-el-acuerdo-de-financiamiento-con-el-fmi-por-usd-1900-millones/"/>
    <hyperlink ref="B23" r:id="rId20" display="http://findevlab.org/wp-content/uploads/2026/04/FDL_Policy-Note-34_A-New-Day-for-Bolivia_The-Anatomy-of-a-Crisis-and-the-Options-Ahead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2026-10-14T12:27:10Z</dcterms:created>
  <dc:creator>openpyxl</dc:creator>
  <dc:description/>
  <dc:language>en-US</dc:language>
  <cp:lastModifiedBy/>
  <dcterms:modified xsi:type="dcterms:W3CDTF">2026-10-14T12:27:12Z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