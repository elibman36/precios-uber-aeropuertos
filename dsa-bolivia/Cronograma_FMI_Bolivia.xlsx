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Mensual" sheetId="2" state="visible" r:id="rId4"/>
    <sheet name="Anual" sheetId="3" state="visible" r:id="rId5"/>
    <sheet name="Notas_Fuen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<sst xmlns="http://schemas.openxmlformats.org/spreadsheetml/2006/main" count="147" uniqueCount="139">
  <si>
    <t xml:space="preserve">Bolivia: Servicio Ampliado del FMI (SAF) 2026-2029. Supuestos y tramos</t>
  </si>
  <si>
    <t xml:space="preserve">Azul = insumo editable · Negro = fórmula · Amarillo = supuesto clave. Montos en millones de DEG salvo indicación.</t>
  </si>
  <si>
    <t xml:space="preserve">Parámetro</t>
  </si>
  <si>
    <t xml:space="preserve">Valor</t>
  </si>
  <si>
    <t xml:space="preserve">Nota / fuente</t>
  </si>
  <si>
    <t xml:space="preserve">Cuota de Bolivia en el FMI</t>
  </si>
  <si>
    <t xml:space="preserve">DEG mm. Ficha del país, FMI</t>
  </si>
  <si>
    <t xml:space="preserve">Acceso total aprobado</t>
  </si>
  <si>
    <t xml:space="preserve">DEG mm = 570% de la cuota. Directorio, 2-oct-2026</t>
  </si>
  <si>
    <t xml:space="preserve">Tipo de cambio USD por DEG</t>
  </si>
  <si>
    <t xml:space="preserve">Implícito en el primer desembolso: USD 211,3 mm = DEG 156,1 mm (BCB, 6-oct-2026)</t>
  </si>
  <si>
    <t xml:space="preserve">Tasa de interés del DEG</t>
  </si>
  <si>
    <t xml:space="preserve">Supuesto: implícita en la tasa de 3,47% informada, menos el margen de 60 pb. Se mantiene constante</t>
  </si>
  <si>
    <t xml:space="preserve">Margen sobre la tasa del DEG</t>
  </si>
  <si>
    <t xml:space="preserve">60 pb desde la reforma de nov-2024</t>
  </si>
  <si>
    <t xml:space="preserve">Umbral de sobrecargo por nivel</t>
  </si>
  <si>
    <t xml:space="preserve">300% de la cuota (reforma 2024)</t>
  </si>
  <si>
    <t xml:space="preserve">Sobrecargo por nivel</t>
  </si>
  <si>
    <t xml:space="preserve">200 pb sobre el crédito que excede el umbral</t>
  </si>
  <si>
    <t xml:space="preserve">Meses sobre el umbral para el sobrecargo por tiempo (SAF)</t>
  </si>
  <si>
    <t xml:space="preserve">51 meses en el SAF (36 en otros servicios)</t>
  </si>
  <si>
    <t xml:space="preserve">Sobrecargo por tiempo</t>
  </si>
  <si>
    <t xml:space="preserve">75 pb adicionales (reforma 2024)</t>
  </si>
  <si>
    <t xml:space="preserve">Cargo por servicio (sobre cada desembolso)</t>
  </si>
  <si>
    <t xml:space="preserve">50 pb por giro</t>
  </si>
  <si>
    <t xml:space="preserve">Inicio de repago tras cada desembolso</t>
  </si>
  <si>
    <t xml:space="preserve">4,5 años</t>
  </si>
  <si>
    <t xml:space="preserve">Último repago tras cada desembolso</t>
  </si>
  <si>
    <t xml:space="preserve">10 años</t>
  </si>
  <si>
    <t xml:space="preserve">Número de cuotas semestrales iguales</t>
  </si>
  <si>
    <t xml:space="preserve">Repago estándar del SAF</t>
  </si>
  <si>
    <t xml:space="preserve">Umbral de sobrecargo en DEG</t>
  </si>
  <si>
    <t xml:space="preserve">Tasa de cargo básica (DEG + margen)</t>
  </si>
  <si>
    <t xml:space="preserve">Tramos del acuerdo (fechas y montos editables)</t>
  </si>
  <si>
    <t xml:space="preserve">#</t>
  </si>
  <si>
    <t xml:space="preserve">Evento</t>
  </si>
  <si>
    <t xml:space="preserve">Fecha</t>
  </si>
  <si>
    <t xml:space="preserve">Monto (DEG mm)</t>
  </si>
  <si>
    <t xml:space="preserve">Monto (USD mm)</t>
  </si>
  <si>
    <t xml:space="preserve">% de la cuota</t>
  </si>
  <si>
    <t xml:space="preserve">Acumulado (DEG mm)</t>
  </si>
  <si>
    <t xml:space="preserve">Acumulado (% cuota)</t>
  </si>
  <si>
    <t xml:space="preserve">Índice de mes</t>
  </si>
  <si>
    <t xml:space="preserve">Primer repago</t>
  </si>
  <si>
    <t xml:space="preserve">Último repago</t>
  </si>
  <si>
    <t xml:space="preserve">Cuota semestral (DEG mm)</t>
  </si>
  <si>
    <t xml:space="preserve">Aprobación del Directorio</t>
  </si>
  <si>
    <t xml:space="preserve">1ª revisión</t>
  </si>
  <si>
    <t xml:space="preserve">2ª revisión</t>
  </si>
  <si>
    <t xml:space="preserve">3ª revisión</t>
  </si>
  <si>
    <t xml:space="preserve">4ª revisión</t>
  </si>
  <si>
    <t xml:space="preserve">5ª revisión</t>
  </si>
  <si>
    <t xml:space="preserve">6ª revisión</t>
  </si>
  <si>
    <t xml:space="preserve">7ª revisión</t>
  </si>
  <si>
    <t xml:space="preserve">8ª revisión</t>
  </si>
  <si>
    <t xml:space="preserve">9ª revisión</t>
  </si>
  <si>
    <t xml:space="preserve">10ª revisión</t>
  </si>
  <si>
    <t xml:space="preserve">11ª revisión</t>
  </si>
  <si>
    <t xml:space="preserve">12ª revisión</t>
  </si>
  <si>
    <t xml:space="preserve">Total</t>
  </si>
  <si>
    <t xml:space="preserve">Control: total = acceso</t>
  </si>
  <si>
    <t xml:space="preserve">Fechas y montos de las revisiones 1 a 12: supuesto. El FMI no publicó el calendario en las fuentes consultadas. Los supuestos: (i) el primer tramo de DEG 156,1 mm es dato (BCB); (ii) un segundo tramo de monto similar en nov-dic 2026, según el ministro de Economía; (iii) desde 2027, revisiones trimestrales con montos iguales que completan DEG 1.369 mm, en un acuerdo de 36 meses (oct-2026 a sep-2029). El último tramo es residual, así que cualquier cambio en los montos mantiene el total.</t>
  </si>
  <si>
    <t xml:space="preserve">Cronograma mensual (DEG mm)</t>
  </si>
  <si>
    <t xml:space="preserve">Los cargos se devengan sobre el saldo a fin del mes anterior; el FMI los liquida trimestralmente. Repago: 12 cuotas semestrales iguales de cada tramo, entre los meses 54 y 120 posteriores al giro.</t>
  </si>
  <si>
    <t xml:space="preserve">Mes</t>
  </si>
  <si>
    <t xml:space="preserve">Índice</t>
  </si>
  <si>
    <t xml:space="preserve">Año</t>
  </si>
  <si>
    <t xml:space="preserve">Desembolso</t>
  </si>
  <si>
    <t xml:space="preserve">Repago de capital</t>
  </si>
  <si>
    <t xml:space="preserve">Saldo adeudado</t>
  </si>
  <si>
    <t xml:space="preserve">Saldo (% cuota)</t>
  </si>
  <si>
    <t xml:space="preserve">Exceso sobre umbral (saldo previo)</t>
  </si>
  <si>
    <t xml:space="preserve">Meses consecutivos sobre umbral</t>
  </si>
  <si>
    <t xml:space="preserve">Cargo básico</t>
  </si>
  <si>
    <t xml:space="preserve">Cargo por servicio</t>
  </si>
  <si>
    <t xml:space="preserve">Cargos totales</t>
  </si>
  <si>
    <t xml:space="preserve">Servicio total (capital + cargos)</t>
  </si>
  <si>
    <t xml:space="preserve">Resumen anual: flujos con el FMI</t>
  </si>
  <si>
    <t xml:space="preserve">DEG mm y USD mm (convertidos con el tipo de cambio USD/DEG de Supuestos, constante).</t>
  </si>
  <si>
    <t xml:space="preserve">Millones de DEG</t>
  </si>
  <si>
    <t xml:space="preserve">Millones de USD</t>
  </si>
  <si>
    <t xml:space="preserve">Desembolsos</t>
  </si>
  <si>
    <t xml:space="preserve">Repagos de capital</t>
  </si>
  <si>
    <t xml:space="preserve">Sobrecargos</t>
  </si>
  <si>
    <t xml:space="preserve">Servicio total</t>
  </si>
  <si>
    <t xml:space="preserve">Flujo neto (desemb. − servicio)</t>
  </si>
  <si>
    <t xml:space="preserve">Saldo a fin de año</t>
  </si>
  <si>
    <t xml:space="preserve">Desembolsos (USD)</t>
  </si>
  <si>
    <t xml:space="preserve">Repagos (USD)</t>
  </si>
  <si>
    <t xml:space="preserve">Cargos (USD)</t>
  </si>
  <si>
    <t xml:space="preserve">Servicio total (USD)</t>
  </si>
  <si>
    <t xml:space="preserve">Flujo neto (USD)</t>
  </si>
  <si>
    <t xml:space="preserve">Saldo fin de año (USD)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</si>
  <si>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</si>
  <si>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</si>
  <si>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</si>
  <si>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</si>
  <si>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</si>
  <si>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</si>
  <si>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</si>
  <si>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</si>
  <si>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</si>
  <si>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</si>
  <si>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</si>
  <si>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</si>
  <si>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</si>
  <si>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</si>
  <si>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Indicadores</t>
  </si>
  <si>
    <t xml:space="preserve">Saldo máximo (DEG mm)</t>
  </si>
  <si>
    <t xml:space="preserve">Saldo máximo (% cuota)</t>
  </si>
  <si>
    <t xml:space="preserve">Mes del saldo máximo</t>
  </si>
  <si>
    <t xml:space="preserve">Primer repago de capital</t>
  </si>
  <si>
    <t xml:space="preserve">Último repago de capital</t>
  </si>
  <si>
    <t xml:space="preserve">Año de mayor servicio total (USD mm)</t>
  </si>
  <si>
    <t xml:space="preserve">Servicio total en ese año (USD mm)</t>
  </si>
  <si>
    <t xml:space="preserve">Costo financiero total / monto girado</t>
  </si>
  <si>
    <t xml:space="preserve">Meses con sobrecargo por tiempo</t>
  </si>
  <si>
    <t xml:space="preserve">Notas metodológicas y fuentes</t>
  </si>
  <si>
    <t xml:space="preserve">• Dato: el acuerdo SAF de 36 meses, por DEG 1.369 mm (570% de la cuota), fue aprobado el 2-oct-2026. El primer giro fue de DEG 156,1 mm (USD 211,3 mm), recibido por el BCB.</t>
  </si>
  <si>
    <t xml:space="preserve">• Supuesto: el calendario de revisiones posteriores. Las fuentes consultadas no publican el cuadro de fases del staff report. Se puede editar en Supuestos (fechas y montos).</t>
  </si>
  <si>
    <t xml:space="preserve">• Repago: cada giro se devuelve en 12 cuotas semestrales iguales, desde los 4,5 años hasta los 10 años posteriores al giro.</t>
  </si>
  <si>
    <t xml:space="preserve">• Cargo básico: tasa de interés del DEG + 60 pb. La tasa del DEG es variable (se fija semanalmente); acá se supone constante en 2,87%, el valor implícito en el 3,47% informado.</t>
  </si>
  <si>
    <t xml:space="preserve">• Sobrecargos: 200 pb sobre el crédito que excede el 300% de la cuota. Se suman 75 pb si ese exceso se mantiene más de 51 meses (SAF).</t>
  </si>
  <si>
    <t xml:space="preserve">• Cargo por servicio: 50 pb sobre cada giro. No se incluye la comisión de compromiso porque se reembolsa a medida que se gira; sólo sería un costo neto si no se completa el acceso.</t>
  </si>
  <si>
    <t xml:space="preserve">• Simplificaciones: los cargos se devengan mensualmente sobre el saldo del mes anterior (el FMI liquida trimestralmente y por saldo diario), y la conversión a USD usa un tipo USD/DEG constante.</t>
  </si>
  <si>
    <t xml:space="preserve">• Esta hoja reemplaza la aproximación anual del FMI usada en DSA_Bolivia.xlsx (USD 0,43 / 0,62 / 0,62 / 0,23 mm M en 2026-29, con repagos lineales de 1/6 por año).</t>
  </si>
  <si>
    <t xml:space="preserve">Fuentes</t>
  </si>
  <si>
    <t xml:space="preserve">FMI, comunicado de aprobación del SAF (2-oct-2026)</t>
  </si>
  <si>
    <t xml:space="preserve">https://www.imf.org/es/news/articles/2026/10/02/pr26317-bolivia-imf-approves-36-month-eff-arrangement</t>
  </si>
  <si>
    <t xml:space="preserve">BCB confirma el primer desembolso: USD 211,3 mm = DEG 156,1 mm</t>
  </si>
  <si>
    <t xml:space="preserve">https://eldeber.com.bo/economia/banco-central-bolivia-confirma-primer-desembolso-us-211-3-millones-fmi_1791317879</t>
  </si>
  <si>
    <t xml:space="preserve">Condiciones: tasa 3,47%, repago desde 4 años y 6 meses hasta 10 años</t>
  </si>
  <si>
    <t xml:space="preserve">https://www.economy.com.bo/articulo/economia/fmi-aprueba-financiamiento-us-1900-millones-bolivia-desembolso-inmediato-us-214-millones/20261002185448024301.html</t>
  </si>
  <si>
    <t xml:space="preserve">Ministro: segundo desembolso nov-dic 2026, luego trimestrales</t>
  </si>
  <si>
    <t xml:space="preserve">https://www.reduno.com.bo/economia/bolivia-recibira-us-214-millones-del-fmi-para-fortalecer-reservas-y-preve-nuevos-desembolsos-202610674812</t>
  </si>
  <si>
    <t xml:space="preserve">FMI, reforma de cargos y sobrecargos (oct-2024)</t>
  </si>
  <si>
    <t xml:space="preserve">https://www.imf.org/en/News/Articles/2024/10/21/pr-24385-imf-concludes-the-review-of-charges-and-surcharge-policy-and-approves-reforms</t>
  </si>
  <si>
    <t xml:space="preserve">FMI, preguntas frecuentes sobre cargos y sobrecargos</t>
  </si>
  <si>
    <t xml:space="preserve">https://www.imf.org/en/about/faq/charges-and-surcharge-policy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</si>
</sst>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;\(#,##0.0\);\-"/>
    <numFmt numFmtId="166" formatCode="0.0000"/>
    <numFmt numFmtId="167" formatCode="0.00%;\-0.00%;\-"/>
    <numFmt numFmtId="168" formatCode="0.0%;\-0.0%;\-"/>
    <numFmt numFmtId="169" formatCode="0"/>
    <numFmt numFmtId="170" formatCode="0&quot; meses&quot;"/>
    <numFmt numFmtId="171" formatCode="mmm\-yyyy"/>
    <numFmt numFmtId="172" formatCode="#,##0.00"/>
    <numFmt numFmtId="173" formatCode="#,##0.00;\(#,##0.00\);\-"/>
    <numFmt numFmtId="174" formatCode="@"/>
    <numFmt numFmtId="175" formatCode="#,##0"/>
    <numFmt numFmtId="17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u val="single"/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DEBF7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A78D6"/>
      <rgbColor rgb="FF33CCCC"/>
      <rgbColor rgb="FF99CC00"/>
      <rgbColor rgb="FFFFCC00"/>
      <rgbColor rgb="FFFF9900"/>
      <rgbColor rgb="FFEB6834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Desembolsos vs. servicio total al FMI (USD 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Anual!L5</c:f>
              <c:strCache>
                <c:ptCount val="1"/>
                <c:pt idx="0">
                  <c:v>Desembolsos (USD)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Anual!$A$6:$A$19</c:f>
              <c:strCache>
                <c:ptCount val="1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</c:strCache>
            </c:strRef>
          </c:cat>
          <c:val>
            <c:numRef>
              <c:f>Anual!$L$6:$L$19</c:f>
              <c:numCache>
                <c:formatCode>#,##0.0;\(#,##0.0\);\-</c:formatCode>
                <c:ptCount val="14"/>
                <c:pt idx="0">
                  <c:v>422.464638052531</c:v>
                </c:pt>
                <c:pt idx="1">
                  <c:v>520.223036515054</c:v>
                </c:pt>
                <c:pt idx="2">
                  <c:v>520.223036515054</c:v>
                </c:pt>
                <c:pt idx="3">
                  <c:v>390.194349775785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Anual!O5</c:f>
              <c:strCache>
                <c:ptCount val="1"/>
                <c:pt idx="0">
                  <c:v>Servicio total (USD)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Anual!$A$6:$A$19</c:f>
              <c:strCache>
                <c:ptCount val="1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</c:strCache>
            </c:strRef>
          </c:cat>
          <c:val>
            <c:numRef>
              <c:f>Anual!$O$6:$O$19</c:f>
              <c:numCache>
                <c:formatCode>#,##0.0;\(#,##0.0\);\-</c:formatCode>
                <c:ptCount val="14"/>
                <c:pt idx="0">
                  <c:v>3.33434152359599</c:v>
                </c:pt>
                <c:pt idx="1">
                  <c:v>24.0300403856502</c:v>
                </c:pt>
                <c:pt idx="2">
                  <c:v>45.4985860307495</c:v>
                </c:pt>
                <c:pt idx="3">
                  <c:v>73.1433907440743</c:v>
                </c:pt>
                <c:pt idx="4">
                  <c:v>81.8646046764894</c:v>
                </c:pt>
                <c:pt idx="5">
                  <c:v>172.519202232525</c:v>
                </c:pt>
                <c:pt idx="6">
                  <c:v>254.977344232312</c:v>
                </c:pt>
                <c:pt idx="7">
                  <c:v>331.422913486049</c:v>
                </c:pt>
                <c:pt idx="8">
                  <c:v>356.748677236636</c:v>
                </c:pt>
                <c:pt idx="9">
                  <c:v>340.039126554203</c:v>
                </c:pt>
                <c:pt idx="10">
                  <c:v>329.096018334312</c:v>
                </c:pt>
                <c:pt idx="11">
                  <c:v>227.200663856075</c:v>
                </c:pt>
                <c:pt idx="12">
                  <c:v>134.103343509075</c:v>
                </c:pt>
                <c:pt idx="13">
                  <c:v>44.014646389921</c:v>
                </c:pt>
              </c:numCache>
            </c:numRef>
          </c:val>
        </c:ser>
        <c:gapWidth val="60"/>
        <c:overlap val="0"/>
        <c:axId val="25073787"/>
        <c:axId val="89050415"/>
      </c:barChart>
      <c:catAx>
        <c:axId val="250737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50415"/>
        <c:crosses val="autoZero"/>
        <c:auto val="1"/>
        <c:lblAlgn val="ctr"/>
        <c:lblOffset val="100"/>
        <c:noMultiLvlLbl val="0"/>
      </c:catAx>
      <c:valAx>
        <c:axId val="890504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737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adeudado al FMI (% de la cuota)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Anual!K5</c:f>
              <c:strCache>
                <c:ptCount val="1"/>
                <c:pt idx="0">
                  <c:v>Saldo (% cuota)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Anual!$A$6:$A$19</c:f>
              <c:strCache>
                <c:ptCount val="14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</c:strCache>
            </c:strRef>
          </c:cat>
          <c:val>
            <c:numRef>
              <c:f>Anual!$K$6:$K$19</c:f>
              <c:numCache>
                <c:formatCode>0.0%;\-0.0%;\-</c:formatCode>
                <c:ptCount val="14"/>
                <c:pt idx="0">
                  <c:v>1.29987505206164</c:v>
                </c:pt>
                <c:pt idx="1">
                  <c:v>2.90054144106622</c:v>
                </c:pt>
                <c:pt idx="2">
                  <c:v>4.50120783007081</c:v>
                </c:pt>
                <c:pt idx="3">
                  <c:v>5.70179092044981</c:v>
                </c:pt>
                <c:pt idx="4">
                  <c:v>5.70179092044981</c:v>
                </c:pt>
                <c:pt idx="5">
                  <c:v>5.41845064556435</c:v>
                </c:pt>
                <c:pt idx="6">
                  <c:v>4.86833263917812</c:v>
                </c:pt>
                <c:pt idx="7">
                  <c:v>4.05143690129113</c:v>
                </c:pt>
                <c:pt idx="8">
                  <c:v>3.10113841454949</c:v>
                </c:pt>
                <c:pt idx="9">
                  <c:v>2.15083992780786</c:v>
                </c:pt>
                <c:pt idx="10">
                  <c:v>1.20054144106622</c:v>
                </c:pt>
                <c:pt idx="11">
                  <c:v>0.533583229210051</c:v>
                </c:pt>
                <c:pt idx="12">
                  <c:v>0.133402748854644</c:v>
                </c:pt>
                <c:pt idx="13">
                  <c:v>1.40569679086234E-016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756875"/>
        <c:axId val="53831932"/>
      </c:lineChart>
      <c:catAx>
        <c:axId val="157568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31932"/>
        <c:crosses val="autoZero"/>
        <c:auto val="1"/>
        <c:lblAlgn val="ctr"/>
        <c:lblOffset val="100"/>
        <c:noMultiLvlLbl val="0"/>
      </c:catAx>
      <c:valAx>
        <c:axId val="538319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568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160560</xdr:rowOff>
    </xdr:from>
    <xdr:to>
      <xdr:col>6</xdr:col>
      <xdr:colOff>433080</xdr:colOff>
      <xdr:row>49</xdr:row>
      <xdr:rowOff>162000</xdr:rowOff>
    </xdr:to>
    <xdr:graphicFrame>
      <xdr:nvGraphicFramePr>
        <xdr:cNvPr id="0" name="Chart 1"/>
        <xdr:cNvGraphicFramePr/>
      </xdr:nvGraphicFramePr>
      <xdr:xfrm>
        <a:off x="0" y="66484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32</xdr:row>
      <xdr:rowOff>160560</xdr:rowOff>
    </xdr:from>
    <xdr:to>
      <xdr:col>17</xdr:col>
      <xdr:colOff>433080</xdr:colOff>
      <xdr:row>49</xdr:row>
      <xdr:rowOff>162000</xdr:rowOff>
    </xdr:to>
    <xdr:graphicFrame>
      <xdr:nvGraphicFramePr>
        <xdr:cNvPr id="1" name="Chart 2"/>
        <xdr:cNvGraphicFramePr/>
      </xdr:nvGraphicFramePr>
      <xdr:xfrm>
        <a:off x="9304200" y="66484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imf.org/es/news/articles/2026/10/02/pr26317-bolivia-imf-approves-36-month-eff-arrangement" TargetMode="External"/><Relationship Id="rId2" Type="http://schemas.openxmlformats.org/officeDocument/2006/relationships/hyperlink" Target="https://eldeber.com.bo/economia/banco-central-bolivia-confirma-primer-desembolso-us-211-3-millones-fmi_1791317879" TargetMode="External"/><Relationship Id="rId3" Type="http://schemas.openxmlformats.org/officeDocument/2006/relationships/hyperlink" Target="https://www.economy.com.bo/articulo/economia/fmi-aprueba-financiamiento-us-1900-millones-bolivia-desembolso-inmediato-us-214-millones/20261002185448024301.html" TargetMode="External"/><Relationship Id="rId4" Type="http://schemas.openxmlformats.org/officeDocument/2006/relationships/hyperlink" Target="https://www.reduno.com.bo/economia/bolivia-recibira-us-214-millones-del-fmi-para-fortalecer-reservas-y-preve-nuevos-desembolsos-202610674812" TargetMode="External"/><Relationship Id="rId5" Type="http://schemas.openxmlformats.org/officeDocument/2006/relationships/hyperlink" Target="https://www.imf.org/en/News/Articles/2024/10/21/pr-24385-imf-concludes-the-review-of-charges-and-surcharge-policy-and-approves-reforms" TargetMode="External"/><Relationship Id="rId6" Type="http://schemas.openxmlformats.org/officeDocument/2006/relationships/hyperlink" Target="https://www.imf.org/en/about/faq/charges-and-surcharge-polic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 t="s">
        <v>4</v>
      </c>
    </row>
    <row r="5" customFormat="false" ht="15" hidden="false" customHeight="false" outlineLevel="0" collapsed="false">
      <c r="A5" s="4" t="s">
        <v>5</v>
      </c>
      <c r="C5" s="5" t="n">
        <v>240.1</v>
      </c>
      <c r="D5" s="2" t="s">
        <v>6</v>
      </c>
    </row>
    <row r="6" customFormat="false" ht="15" hidden="false" customHeight="false" outlineLevel="0" collapsed="false">
      <c r="A6" s="4" t="s">
        <v>7</v>
      </c>
      <c r="C6" s="5" t="n">
        <v>1369</v>
      </c>
      <c r="D6" s="2" t="s">
        <v>8</v>
      </c>
    </row>
    <row r="7" customFormat="false" ht="15" hidden="false" customHeight="false" outlineLevel="0" collapsed="false">
      <c r="A7" s="4" t="s">
        <v>9</v>
      </c>
      <c r="C7" s="6" t="n">
        <v>1.35361947469571</v>
      </c>
      <c r="D7" s="2" t="s">
        <v>10</v>
      </c>
    </row>
    <row r="8" customFormat="false" ht="15" hidden="false" customHeight="false" outlineLevel="0" collapsed="false">
      <c r="A8" s="4" t="s">
        <v>11</v>
      </c>
      <c r="C8" s="7" t="n">
        <v>0.0287</v>
      </c>
      <c r="D8" s="2" t="s">
        <v>12</v>
      </c>
    </row>
    <row r="9" customFormat="false" ht="15" hidden="false" customHeight="false" outlineLevel="0" collapsed="false">
      <c r="A9" s="4" t="s">
        <v>13</v>
      </c>
      <c r="C9" s="8" t="n">
        <v>0.006</v>
      </c>
      <c r="D9" s="2" t="s">
        <v>14</v>
      </c>
    </row>
    <row r="10" customFormat="false" ht="15" hidden="false" customHeight="false" outlineLevel="0" collapsed="false">
      <c r="A10" s="4" t="s">
        <v>15</v>
      </c>
      <c r="C10" s="9" t="n">
        <v>3</v>
      </c>
      <c r="D10" s="2" t="s">
        <v>16</v>
      </c>
    </row>
    <row r="11" customFormat="false" ht="15" hidden="false" customHeight="false" outlineLevel="0" collapsed="false">
      <c r="A11" s="4" t="s">
        <v>17</v>
      </c>
      <c r="C11" s="8" t="n">
        <v>0.02</v>
      </c>
      <c r="D11" s="2" t="s">
        <v>18</v>
      </c>
    </row>
    <row r="12" customFormat="false" ht="15" hidden="false" customHeight="false" outlineLevel="0" collapsed="false">
      <c r="A12" s="4" t="s">
        <v>19</v>
      </c>
      <c r="C12" s="10" t="n">
        <v>51</v>
      </c>
      <c r="D12" s="2" t="s">
        <v>20</v>
      </c>
    </row>
    <row r="13" customFormat="false" ht="15" hidden="false" customHeight="false" outlineLevel="0" collapsed="false">
      <c r="A13" s="4" t="s">
        <v>21</v>
      </c>
      <c r="C13" s="8" t="n">
        <v>0.0075</v>
      </c>
      <c r="D13" s="2" t="s">
        <v>22</v>
      </c>
    </row>
    <row r="14" customFormat="false" ht="15" hidden="false" customHeight="false" outlineLevel="0" collapsed="false">
      <c r="A14" s="4" t="s">
        <v>23</v>
      </c>
      <c r="C14" s="8" t="n">
        <v>0.005</v>
      </c>
      <c r="D14" s="2" t="s">
        <v>24</v>
      </c>
    </row>
    <row r="15" customFormat="false" ht="15" hidden="false" customHeight="false" outlineLevel="0" collapsed="false">
      <c r="A15" s="4" t="s">
        <v>25</v>
      </c>
      <c r="C15" s="11" t="n">
        <v>54</v>
      </c>
      <c r="D15" s="2" t="s">
        <v>26</v>
      </c>
    </row>
    <row r="16" customFormat="false" ht="15" hidden="false" customHeight="false" outlineLevel="0" collapsed="false">
      <c r="A16" s="4" t="s">
        <v>27</v>
      </c>
      <c r="C16" s="11" t="n">
        <v>120</v>
      </c>
      <c r="D16" s="2" t="s">
        <v>28</v>
      </c>
    </row>
    <row r="17" customFormat="false" ht="15" hidden="false" customHeight="false" outlineLevel="0" collapsed="false">
      <c r="A17" s="4" t="s">
        <v>29</v>
      </c>
      <c r="C17" s="10" t="n">
        <v>12</v>
      </c>
      <c r="D17" s="2" t="s">
        <v>30</v>
      </c>
    </row>
    <row r="18" customFormat="false" ht="15" hidden="false" customHeight="false" outlineLevel="0" collapsed="false">
      <c r="A18" s="4" t="s">
        <v>31</v>
      </c>
      <c r="C18" s="12" t="n">
        <f aca="false">Supuestos!$C$10*Supuestos!$C$5</f>
        <v>720.3</v>
      </c>
    </row>
    <row r="19" customFormat="false" ht="15" hidden="false" customHeight="false" outlineLevel="0" collapsed="false">
      <c r="A19" s="4" t="s">
        <v>32</v>
      </c>
      <c r="C19" s="13" t="n">
        <f aca="false">Supuestos!$C$8+Supuestos!$C$9</f>
        <v>0.0347</v>
      </c>
    </row>
    <row r="21" customFormat="false" ht="15" hidden="false" customHeight="false" outlineLevel="0" collapsed="false">
      <c r="A21" s="14" t="s">
        <v>33</v>
      </c>
    </row>
    <row r="22" customFormat="false" ht="31.5" hidden="false" customHeight="true" outlineLevel="0" collapsed="false">
      <c r="A22" s="3" t="s">
        <v>34</v>
      </c>
      <c r="B22" s="3" t="s">
        <v>35</v>
      </c>
      <c r="C22" s="3" t="s">
        <v>36</v>
      </c>
      <c r="D22" s="3" t="s">
        <v>37</v>
      </c>
      <c r="E22" s="3" t="s">
        <v>38</v>
      </c>
      <c r="F22" s="3" t="s">
        <v>39</v>
      </c>
      <c r="G22" s="3" t="s">
        <v>40</v>
      </c>
      <c r="H22" s="3" t="s">
        <v>41</v>
      </c>
      <c r="I22" s="3" t="s">
        <v>42</v>
      </c>
      <c r="J22" s="3" t="s">
        <v>43</v>
      </c>
      <c r="K22" s="3" t="s">
        <v>44</v>
      </c>
      <c r="L22" s="3" t="s">
        <v>45</v>
      </c>
    </row>
    <row r="23" customFormat="false" ht="15" hidden="false" customHeight="false" outlineLevel="0" collapsed="false">
      <c r="A23" s="4" t="n">
        <v>1</v>
      </c>
      <c r="B23" s="4" t="s">
        <v>46</v>
      </c>
      <c r="C23" s="15" t="n">
        <v>46296</v>
      </c>
      <c r="D23" s="5" t="n">
        <v>156.1</v>
      </c>
      <c r="E23" s="16" t="n">
        <f aca="false">D23*Supuestos!$C$7</f>
        <v>211.3</v>
      </c>
      <c r="F23" s="17" t="n">
        <f aca="false">D23/Supuestos!$C$5</f>
        <v>0.650145772594752</v>
      </c>
      <c r="G23" s="16" t="n">
        <f aca="false">SUM(D$23:D23)</f>
        <v>156.1</v>
      </c>
      <c r="H23" s="17" t="n">
        <f aca="false">G23/Supuestos!$C$5</f>
        <v>0.650145772594752</v>
      </c>
      <c r="I23" s="18" t="n">
        <f aca="false">YEAR(C23)*12+MONTH(C23)</f>
        <v>24322</v>
      </c>
      <c r="J23" s="19" t="n">
        <f aca="false">EDATE(C23,Supuestos!$C$15)</f>
        <v>47939</v>
      </c>
      <c r="K23" s="19" t="n">
        <f aca="false">EDATE(C23,Supuestos!$C$16)</f>
        <v>49949</v>
      </c>
      <c r="L23" s="20" t="n">
        <f aca="false">D23/Supuestos!$C$17</f>
        <v>13.0083333333333</v>
      </c>
    </row>
    <row r="24" customFormat="false" ht="15" hidden="false" customHeight="false" outlineLevel="0" collapsed="false">
      <c r="A24" s="4" t="n">
        <v>2</v>
      </c>
      <c r="B24" s="4" t="s">
        <v>47</v>
      </c>
      <c r="C24" s="15" t="n">
        <v>46357</v>
      </c>
      <c r="D24" s="21" t="n">
        <v>156</v>
      </c>
      <c r="E24" s="16" t="n">
        <f aca="false">D24*Supuestos!$C$7</f>
        <v>211.16463805253</v>
      </c>
      <c r="F24" s="17" t="n">
        <f aca="false">D24/Supuestos!$C$5</f>
        <v>0.649729279466889</v>
      </c>
      <c r="G24" s="16" t="n">
        <f aca="false">SUM(D$23:D24)</f>
        <v>312.1</v>
      </c>
      <c r="H24" s="17" t="n">
        <f aca="false">G24/Supuestos!$C$5</f>
        <v>1.29987505206164</v>
      </c>
      <c r="I24" s="18" t="n">
        <f aca="false">YEAR(C24)*12+MONTH(C24)</f>
        <v>24324</v>
      </c>
      <c r="J24" s="19" t="n">
        <f aca="false">EDATE(C24,Supuestos!$C$15)</f>
        <v>48000</v>
      </c>
      <c r="K24" s="19" t="n">
        <f aca="false">EDATE(C24,Supuestos!$C$16)</f>
        <v>50010</v>
      </c>
      <c r="L24" s="20" t="n">
        <f aca="false">D24/Supuestos!$C$17</f>
        <v>13</v>
      </c>
    </row>
    <row r="25" customFormat="false" ht="15" hidden="false" customHeight="false" outlineLevel="0" collapsed="false">
      <c r="A25" s="4" t="n">
        <v>3</v>
      </c>
      <c r="B25" s="4" t="s">
        <v>48</v>
      </c>
      <c r="C25" s="15" t="n">
        <v>46447</v>
      </c>
      <c r="D25" s="21" t="n">
        <v>96.08</v>
      </c>
      <c r="E25" s="16" t="n">
        <f aca="false">D25*Supuestos!$C$7</f>
        <v>130.055759128764</v>
      </c>
      <c r="F25" s="17" t="n">
        <f aca="false">D25/Supuestos!$C$5</f>
        <v>0.400166597251145</v>
      </c>
      <c r="G25" s="16" t="n">
        <f aca="false">SUM(D$23:D25)</f>
        <v>408.18</v>
      </c>
      <c r="H25" s="17" t="n">
        <f aca="false">G25/Supuestos!$C$5</f>
        <v>1.70004164931279</v>
      </c>
      <c r="I25" s="18" t="n">
        <f aca="false">YEAR(C25)*12+MONTH(C25)</f>
        <v>24327</v>
      </c>
      <c r="J25" s="19" t="n">
        <f aca="false">EDATE(C25,Supuestos!$C$15)</f>
        <v>48092</v>
      </c>
      <c r="K25" s="19" t="n">
        <f aca="false">EDATE(C25,Supuestos!$C$16)</f>
        <v>50100</v>
      </c>
      <c r="L25" s="20" t="n">
        <f aca="false">D25/Supuestos!$C$17</f>
        <v>8.00666666666667</v>
      </c>
    </row>
    <row r="26" customFormat="false" ht="15" hidden="false" customHeight="false" outlineLevel="0" collapsed="false">
      <c r="A26" s="4" t="n">
        <v>4</v>
      </c>
      <c r="B26" s="4" t="s">
        <v>49</v>
      </c>
      <c r="C26" s="15" t="n">
        <v>46539</v>
      </c>
      <c r="D26" s="21" t="n">
        <v>96.08</v>
      </c>
      <c r="E26" s="16" t="n">
        <f aca="false">D26*Supuestos!$C$7</f>
        <v>130.055759128764</v>
      </c>
      <c r="F26" s="17" t="n">
        <f aca="false">D26/Supuestos!$C$5</f>
        <v>0.400166597251145</v>
      </c>
      <c r="G26" s="16" t="n">
        <f aca="false">SUM(D$23:D26)</f>
        <v>504.26</v>
      </c>
      <c r="H26" s="17" t="n">
        <f aca="false">G26/Supuestos!$C$5</f>
        <v>2.10020824656393</v>
      </c>
      <c r="I26" s="18" t="n">
        <f aca="false">YEAR(C26)*12+MONTH(C26)</f>
        <v>24330</v>
      </c>
      <c r="J26" s="19" t="n">
        <f aca="false">EDATE(C26,Supuestos!$C$15)</f>
        <v>48183</v>
      </c>
      <c r="K26" s="19" t="n">
        <f aca="false">EDATE(C26,Supuestos!$C$16)</f>
        <v>50192</v>
      </c>
      <c r="L26" s="20" t="n">
        <f aca="false">D26/Supuestos!$C$17</f>
        <v>8.00666666666667</v>
      </c>
    </row>
    <row r="27" customFormat="false" ht="15" hidden="false" customHeight="false" outlineLevel="0" collapsed="false">
      <c r="A27" s="4" t="n">
        <v>5</v>
      </c>
      <c r="B27" s="4" t="s">
        <v>50</v>
      </c>
      <c r="C27" s="15" t="n">
        <v>46631</v>
      </c>
      <c r="D27" s="21" t="n">
        <v>96.08</v>
      </c>
      <c r="E27" s="16" t="n">
        <f aca="false">D27*Supuestos!$C$7</f>
        <v>130.055759128764</v>
      </c>
      <c r="F27" s="17" t="n">
        <f aca="false">D27/Supuestos!$C$5</f>
        <v>0.400166597251145</v>
      </c>
      <c r="G27" s="16" t="n">
        <f aca="false">SUM(D$23:D27)</f>
        <v>600.34</v>
      </c>
      <c r="H27" s="17" t="n">
        <f aca="false">G27/Supuestos!$C$5</f>
        <v>2.50037484381508</v>
      </c>
      <c r="I27" s="18" t="n">
        <f aca="false">YEAR(C27)*12+MONTH(C27)</f>
        <v>24333</v>
      </c>
      <c r="J27" s="19" t="n">
        <f aca="false">EDATE(C27,Supuestos!$C$15)</f>
        <v>48274</v>
      </c>
      <c r="K27" s="19" t="n">
        <f aca="false">EDATE(C27,Supuestos!$C$16)</f>
        <v>50284</v>
      </c>
      <c r="L27" s="20" t="n">
        <f aca="false">D27/Supuestos!$C$17</f>
        <v>8.00666666666667</v>
      </c>
    </row>
    <row r="28" customFormat="false" ht="15" hidden="false" customHeight="false" outlineLevel="0" collapsed="false">
      <c r="A28" s="4" t="n">
        <v>6</v>
      </c>
      <c r="B28" s="4" t="s">
        <v>51</v>
      </c>
      <c r="C28" s="15" t="n">
        <v>46722</v>
      </c>
      <c r="D28" s="21" t="n">
        <v>96.08</v>
      </c>
      <c r="E28" s="16" t="n">
        <f aca="false">D28*Supuestos!$C$7</f>
        <v>130.055759128764</v>
      </c>
      <c r="F28" s="17" t="n">
        <f aca="false">D28/Supuestos!$C$5</f>
        <v>0.400166597251145</v>
      </c>
      <c r="G28" s="16" t="n">
        <f aca="false">SUM(D$23:D28)</f>
        <v>696.42</v>
      </c>
      <c r="H28" s="17" t="n">
        <f aca="false">G28/Supuestos!$C$5</f>
        <v>2.90054144106622</v>
      </c>
      <c r="I28" s="18" t="n">
        <f aca="false">YEAR(C28)*12+MONTH(C28)</f>
        <v>24336</v>
      </c>
      <c r="J28" s="19" t="n">
        <f aca="false">EDATE(C28,Supuestos!$C$15)</f>
        <v>48366</v>
      </c>
      <c r="K28" s="19" t="n">
        <f aca="false">EDATE(C28,Supuestos!$C$16)</f>
        <v>50375</v>
      </c>
      <c r="L28" s="20" t="n">
        <f aca="false">D28/Supuestos!$C$17</f>
        <v>8.00666666666667</v>
      </c>
    </row>
    <row r="29" customFormat="false" ht="15" hidden="false" customHeight="false" outlineLevel="0" collapsed="false">
      <c r="A29" s="4" t="n">
        <v>7</v>
      </c>
      <c r="B29" s="4" t="s">
        <v>52</v>
      </c>
      <c r="C29" s="15" t="n">
        <v>46813</v>
      </c>
      <c r="D29" s="21" t="n">
        <v>96.08</v>
      </c>
      <c r="E29" s="16" t="n">
        <f aca="false">D29*Supuestos!$C$7</f>
        <v>130.055759128764</v>
      </c>
      <c r="F29" s="17" t="n">
        <f aca="false">D29/Supuestos!$C$5</f>
        <v>0.400166597251145</v>
      </c>
      <c r="G29" s="16" t="n">
        <f aca="false">SUM(D$23:D29)</f>
        <v>792.5</v>
      </c>
      <c r="H29" s="17" t="n">
        <f aca="false">G29/Supuestos!$C$5</f>
        <v>3.30070803831737</v>
      </c>
      <c r="I29" s="18" t="n">
        <f aca="false">YEAR(C29)*12+MONTH(C29)</f>
        <v>24339</v>
      </c>
      <c r="J29" s="19" t="n">
        <f aca="false">EDATE(C29,Supuestos!$C$15)</f>
        <v>48458</v>
      </c>
      <c r="K29" s="19" t="n">
        <f aca="false">EDATE(C29,Supuestos!$C$16)</f>
        <v>50465</v>
      </c>
      <c r="L29" s="20" t="n">
        <f aca="false">D29/Supuestos!$C$17</f>
        <v>8.00666666666667</v>
      </c>
    </row>
    <row r="30" customFormat="false" ht="15" hidden="false" customHeight="false" outlineLevel="0" collapsed="false">
      <c r="A30" s="4" t="n">
        <v>8</v>
      </c>
      <c r="B30" s="4" t="s">
        <v>53</v>
      </c>
      <c r="C30" s="15" t="n">
        <v>46905</v>
      </c>
      <c r="D30" s="21" t="n">
        <v>96.08</v>
      </c>
      <c r="E30" s="16" t="n">
        <f aca="false">D30*Supuestos!$C$7</f>
        <v>130.055759128764</v>
      </c>
      <c r="F30" s="17" t="n">
        <f aca="false">D30/Supuestos!$C$5</f>
        <v>0.400166597251145</v>
      </c>
      <c r="G30" s="16" t="n">
        <f aca="false">SUM(D$23:D30)</f>
        <v>888.58</v>
      </c>
      <c r="H30" s="17" t="n">
        <f aca="false">G30/Supuestos!$C$5</f>
        <v>3.70087463556851</v>
      </c>
      <c r="I30" s="18" t="n">
        <f aca="false">YEAR(C30)*12+MONTH(C30)</f>
        <v>24342</v>
      </c>
      <c r="J30" s="19" t="n">
        <f aca="false">EDATE(C30,Supuestos!$C$15)</f>
        <v>48549</v>
      </c>
      <c r="K30" s="19" t="n">
        <f aca="false">EDATE(C30,Supuestos!$C$16)</f>
        <v>50557</v>
      </c>
      <c r="L30" s="20" t="n">
        <f aca="false">D30/Supuestos!$C$17</f>
        <v>8.00666666666667</v>
      </c>
    </row>
    <row r="31" customFormat="false" ht="15" hidden="false" customHeight="false" outlineLevel="0" collapsed="false">
      <c r="A31" s="4" t="n">
        <v>9</v>
      </c>
      <c r="B31" s="4" t="s">
        <v>54</v>
      </c>
      <c r="C31" s="15" t="n">
        <v>46997</v>
      </c>
      <c r="D31" s="21" t="n">
        <v>96.08</v>
      </c>
      <c r="E31" s="16" t="n">
        <f aca="false">D31*Supuestos!$C$7</f>
        <v>130.055759128764</v>
      </c>
      <c r="F31" s="17" t="n">
        <f aca="false">D31/Supuestos!$C$5</f>
        <v>0.400166597251145</v>
      </c>
      <c r="G31" s="16" t="n">
        <f aca="false">SUM(D$23:D31)</f>
        <v>984.66</v>
      </c>
      <c r="H31" s="17" t="n">
        <f aca="false">G31/Supuestos!$C$5</f>
        <v>4.10104123281966</v>
      </c>
      <c r="I31" s="18" t="n">
        <f aca="false">YEAR(C31)*12+MONTH(C31)</f>
        <v>24345</v>
      </c>
      <c r="J31" s="19" t="n">
        <f aca="false">EDATE(C31,Supuestos!$C$15)</f>
        <v>48639</v>
      </c>
      <c r="K31" s="19" t="n">
        <f aca="false">EDATE(C31,Supuestos!$C$16)</f>
        <v>50649</v>
      </c>
      <c r="L31" s="20" t="n">
        <f aca="false">D31/Supuestos!$C$17</f>
        <v>8.00666666666667</v>
      </c>
    </row>
    <row r="32" customFormat="false" ht="15" hidden="false" customHeight="false" outlineLevel="0" collapsed="false">
      <c r="A32" s="4" t="n">
        <v>10</v>
      </c>
      <c r="B32" s="4" t="s">
        <v>55</v>
      </c>
      <c r="C32" s="15" t="n">
        <v>47088</v>
      </c>
      <c r="D32" s="21" t="n">
        <v>96.08</v>
      </c>
      <c r="E32" s="16" t="n">
        <f aca="false">D32*Supuestos!$C$7</f>
        <v>130.055759128764</v>
      </c>
      <c r="F32" s="17" t="n">
        <f aca="false">D32/Supuestos!$C$5</f>
        <v>0.400166597251145</v>
      </c>
      <c r="G32" s="16" t="n">
        <f aca="false">SUM(D$23:D32)</f>
        <v>1080.74</v>
      </c>
      <c r="H32" s="17" t="n">
        <f aca="false">G32/Supuestos!$C$5</f>
        <v>4.5012078300708</v>
      </c>
      <c r="I32" s="18" t="n">
        <f aca="false">YEAR(C32)*12+MONTH(C32)</f>
        <v>24348</v>
      </c>
      <c r="J32" s="19" t="n">
        <f aca="false">EDATE(C32,Supuestos!$C$15)</f>
        <v>48731</v>
      </c>
      <c r="K32" s="19" t="n">
        <f aca="false">EDATE(C32,Supuestos!$C$16)</f>
        <v>50740</v>
      </c>
      <c r="L32" s="20" t="n">
        <f aca="false">D32/Supuestos!$C$17</f>
        <v>8.00666666666667</v>
      </c>
    </row>
    <row r="33" customFormat="false" ht="15" hidden="false" customHeight="false" outlineLevel="0" collapsed="false">
      <c r="A33" s="4" t="n">
        <v>11</v>
      </c>
      <c r="B33" s="4" t="s">
        <v>56</v>
      </c>
      <c r="C33" s="15" t="n">
        <v>47178</v>
      </c>
      <c r="D33" s="21" t="n">
        <v>96.08</v>
      </c>
      <c r="E33" s="16" t="n">
        <f aca="false">D33*Supuestos!$C$7</f>
        <v>130.055759128764</v>
      </c>
      <c r="F33" s="17" t="n">
        <f aca="false">D33/Supuestos!$C$5</f>
        <v>0.400166597251145</v>
      </c>
      <c r="G33" s="16" t="n">
        <f aca="false">SUM(D$23:D33)</f>
        <v>1176.82</v>
      </c>
      <c r="H33" s="17" t="n">
        <f aca="false">G33/Supuestos!$C$5</f>
        <v>4.90137442732195</v>
      </c>
      <c r="I33" s="18" t="n">
        <f aca="false">YEAR(C33)*12+MONTH(C33)</f>
        <v>24351</v>
      </c>
      <c r="J33" s="19" t="n">
        <f aca="false">EDATE(C33,Supuestos!$C$15)</f>
        <v>48823</v>
      </c>
      <c r="K33" s="19" t="n">
        <f aca="false">EDATE(C33,Supuestos!$C$16)</f>
        <v>50830</v>
      </c>
      <c r="L33" s="20" t="n">
        <f aca="false">D33/Supuestos!$C$17</f>
        <v>8.00666666666667</v>
      </c>
    </row>
    <row r="34" customFormat="false" ht="15" hidden="false" customHeight="false" outlineLevel="0" collapsed="false">
      <c r="A34" s="4" t="n">
        <v>12</v>
      </c>
      <c r="B34" s="4" t="s">
        <v>57</v>
      </c>
      <c r="C34" s="15" t="n">
        <v>47270</v>
      </c>
      <c r="D34" s="21" t="n">
        <v>96.08</v>
      </c>
      <c r="E34" s="16" t="n">
        <f aca="false">D34*Supuestos!$C$7</f>
        <v>130.055759128764</v>
      </c>
      <c r="F34" s="17" t="n">
        <f aca="false">D34/Supuestos!$C$5</f>
        <v>0.400166597251145</v>
      </c>
      <c r="G34" s="16" t="n">
        <f aca="false">SUM(D$23:D34)</f>
        <v>1272.9</v>
      </c>
      <c r="H34" s="17" t="n">
        <f aca="false">G34/Supuestos!$C$5</f>
        <v>5.3015410245731</v>
      </c>
      <c r="I34" s="18" t="n">
        <f aca="false">YEAR(C34)*12+MONTH(C34)</f>
        <v>24354</v>
      </c>
      <c r="J34" s="19" t="n">
        <f aca="false">EDATE(C34,Supuestos!$C$15)</f>
        <v>48914</v>
      </c>
      <c r="K34" s="19" t="n">
        <f aca="false">EDATE(C34,Supuestos!$C$16)</f>
        <v>50922</v>
      </c>
      <c r="L34" s="20" t="n">
        <f aca="false">D34/Supuestos!$C$17</f>
        <v>8.00666666666667</v>
      </c>
    </row>
    <row r="35" customFormat="false" ht="15" hidden="false" customHeight="false" outlineLevel="0" collapsed="false">
      <c r="A35" s="4" t="n">
        <v>13</v>
      </c>
      <c r="B35" s="4" t="s">
        <v>58</v>
      </c>
      <c r="C35" s="15" t="n">
        <v>47362</v>
      </c>
      <c r="D35" s="16" t="n">
        <f aca="false">Supuestos!$C$6-SUM(D23:D34)</f>
        <v>96.0999999999999</v>
      </c>
      <c r="E35" s="16" t="n">
        <f aca="false">D35*Supuestos!$C$7</f>
        <v>130.082831518257</v>
      </c>
      <c r="F35" s="17" t="n">
        <f aca="false">D35/Supuestos!$C$5</f>
        <v>0.400249895876718</v>
      </c>
      <c r="G35" s="16" t="n">
        <f aca="false">SUM(D$23:D35)</f>
        <v>1369</v>
      </c>
      <c r="H35" s="17" t="n">
        <f aca="false">G35/Supuestos!$C$5</f>
        <v>5.70179092044981</v>
      </c>
      <c r="I35" s="18" t="n">
        <f aca="false">YEAR(C35)*12+MONTH(C35)</f>
        <v>24357</v>
      </c>
      <c r="J35" s="19" t="n">
        <f aca="false">EDATE(C35,Supuestos!$C$15)</f>
        <v>49004</v>
      </c>
      <c r="K35" s="19" t="n">
        <f aca="false">EDATE(C35,Supuestos!$C$16)</f>
        <v>51014</v>
      </c>
      <c r="L35" s="20" t="n">
        <f aca="false">D35/Supuestos!$C$17</f>
        <v>8.00833333333333</v>
      </c>
    </row>
    <row r="36" customFormat="false" ht="15" hidden="false" customHeight="false" outlineLevel="0" collapsed="false">
      <c r="B36" s="14" t="s">
        <v>59</v>
      </c>
      <c r="D36" s="22" t="n">
        <f aca="false">SUM(D23:D35)</f>
        <v>1369</v>
      </c>
      <c r="E36" s="22" t="n">
        <f aca="false">SUM(E23:E35)</f>
        <v>1853.10506085842</v>
      </c>
      <c r="F36" s="23" t="n">
        <f aca="false">SUM(F23:F35)</f>
        <v>5.70179092044981</v>
      </c>
    </row>
    <row r="37" customFormat="false" ht="15" hidden="false" customHeight="false" outlineLevel="0" collapsed="false">
      <c r="B37" s="2" t="s">
        <v>60</v>
      </c>
      <c r="D37" s="14" t="str">
        <f aca="false">IF(ABS(D36-Supuestos!$C$6)&lt;0.001,"OK","REVISAR")</f>
        <v>OK</v>
      </c>
    </row>
    <row r="39" customFormat="false" ht="54" hidden="false" customHeight="true" outlineLevel="0" collapsed="false">
      <c r="A39" s="24" t="s">
        <v>61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</sheetData>
  <mergeCells count="1">
    <mergeCell ref="A39:L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15" min="4" style="0" width="13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43.5" hidden="false" customHeight="true" outlineLevel="0" collapsed="false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17</v>
      </c>
      <c r="L4" s="3" t="s">
        <v>21</v>
      </c>
      <c r="M4" s="3" t="s">
        <v>74</v>
      </c>
      <c r="N4" s="3" t="s">
        <v>75</v>
      </c>
      <c r="O4" s="3" t="s">
        <v>76</v>
      </c>
    </row>
    <row r="5" customFormat="false" ht="15" hidden="false" customHeight="false" outlineLevel="0" collapsed="false">
      <c r="A5" s="25" t="n">
        <f aca="false">Supuestos!$C$23</f>
        <v>46296</v>
      </c>
      <c r="B5" s="18" t="n">
        <f aca="false">YEAR(A5)*12+MONTH(A5)</f>
        <v>24322</v>
      </c>
      <c r="C5" s="18" t="n">
        <f aca="false">YEAR(A5)</f>
        <v>2026</v>
      </c>
      <c r="D5" s="26" t="n">
        <f aca="false">SUMIF(Supuestos!$I$23:$I$35,B5,Supuestos!$D$23:$D$35)</f>
        <v>156.1</v>
      </c>
      <c r="E5" s="26" t="n">
        <f aca="false">SUMPRODUCT(Supuestos!$D$23:$D$35*((B5-Supuestos!$I$23:$I$35)&gt;=Supuestos!$C$15)*((B5-Supuestos!$I$23:$I$35)&lt;=Supuestos!$C$16)*(MOD((B5-Supuestos!$I$23:$I$35)-Supuestos!$C$15,6)=0))/Supuestos!$C$17</f>
        <v>0</v>
      </c>
      <c r="F5" s="26" t="n">
        <f aca="false">0+D5-E5</f>
        <v>156.1</v>
      </c>
      <c r="G5" s="17" t="n">
        <f aca="false">F5/Supuestos!$C$5</f>
        <v>0.650145772594752</v>
      </c>
      <c r="H5" s="26" t="n">
        <f aca="false">MAX(0,0-Supuestos!$C$18)</f>
        <v>0</v>
      </c>
      <c r="I5" s="18" t="n">
        <f aca="false">IF(F5&gt;Supuestos!$C$18,0+1,0)</f>
        <v>0</v>
      </c>
      <c r="J5" s="26" t="n">
        <f aca="false">0*Supuestos!$C$19/12</f>
        <v>0</v>
      </c>
      <c r="K5" s="26" t="n">
        <f aca="false">H5*Supuestos!$C$11/12</f>
        <v>0</v>
      </c>
      <c r="L5" s="26" t="n">
        <f aca="false">IF(0&gt;Supuestos!$C$12,H5*Supuestos!$C$13/12,0)</f>
        <v>0</v>
      </c>
      <c r="M5" s="26" t="n">
        <f aca="false">D5*Supuestos!$C$14</f>
        <v>0.7805</v>
      </c>
      <c r="N5" s="26" t="n">
        <f aca="false">SUM(J5:M5)</f>
        <v>0.7805</v>
      </c>
      <c r="O5" s="26" t="n">
        <f aca="false">E5+N5</f>
        <v>0.7805</v>
      </c>
    </row>
    <row r="6" customFormat="false" ht="15" hidden="false" customHeight="false" outlineLevel="0" collapsed="false">
      <c r="A6" s="27" t="n">
        <f aca="false">EDATE(A5,1)</f>
        <v>46327</v>
      </c>
      <c r="B6" s="18" t="n">
        <f aca="false">YEAR(A6)*12+MONTH(A6)</f>
        <v>24323</v>
      </c>
      <c r="C6" s="18" t="n">
        <f aca="false">YEAR(A6)</f>
        <v>2026</v>
      </c>
      <c r="D6" s="26" t="n">
        <f aca="false">SUMIF(Supuestos!$I$23:$I$35,B6,Supuestos!$D$23:$D$35)</f>
        <v>0</v>
      </c>
      <c r="E6" s="26" t="n">
        <f aca="false">SUMPRODUCT(Supuestos!$D$23:$D$35*((B6-Supuestos!$I$23:$I$35)&gt;=Supuestos!$C$15)*((B6-Supuestos!$I$23:$I$35)&lt;=Supuestos!$C$16)*(MOD((B6-Supuestos!$I$23:$I$35)-Supuestos!$C$15,6)=0))/Supuestos!$C$17</f>
        <v>0</v>
      </c>
      <c r="F6" s="26" t="n">
        <f aca="false">F5+D6-E6</f>
        <v>156.1</v>
      </c>
      <c r="G6" s="17" t="n">
        <f aca="false">F6/Supuestos!$C$5</f>
        <v>0.650145772594752</v>
      </c>
      <c r="H6" s="26" t="n">
        <f aca="false">MAX(0,F5-Supuestos!$C$18)</f>
        <v>0</v>
      </c>
      <c r="I6" s="18" t="n">
        <f aca="false">IF(F6&gt;Supuestos!$C$18,I5+1,0)</f>
        <v>0</v>
      </c>
      <c r="J6" s="26" t="n">
        <f aca="false">F5*Supuestos!$C$19/12</f>
        <v>0.451389166666667</v>
      </c>
      <c r="K6" s="26" t="n">
        <f aca="false">H6*Supuestos!$C$11/12</f>
        <v>0</v>
      </c>
      <c r="L6" s="26" t="n">
        <f aca="false">IF(I5&gt;Supuestos!$C$12,H6*Supuestos!$C$13/12,0)</f>
        <v>0</v>
      </c>
      <c r="M6" s="26" t="n">
        <f aca="false">D6*Supuestos!$C$14</f>
        <v>0</v>
      </c>
      <c r="N6" s="26" t="n">
        <f aca="false">SUM(J6:M6)</f>
        <v>0.451389166666667</v>
      </c>
      <c r="O6" s="26" t="n">
        <f aca="false">E6+N6</f>
        <v>0.451389166666667</v>
      </c>
    </row>
    <row r="7" customFormat="false" ht="15" hidden="false" customHeight="false" outlineLevel="0" collapsed="false">
      <c r="A7" s="27" t="n">
        <f aca="false">EDATE(A6,1)</f>
        <v>46357</v>
      </c>
      <c r="B7" s="18" t="n">
        <f aca="false">YEAR(A7)*12+MONTH(A7)</f>
        <v>24324</v>
      </c>
      <c r="C7" s="18" t="n">
        <f aca="false">YEAR(A7)</f>
        <v>2026</v>
      </c>
      <c r="D7" s="26" t="n">
        <f aca="false">SUMIF(Supuestos!$I$23:$I$35,B7,Supuestos!$D$23:$D$35)</f>
        <v>156</v>
      </c>
      <c r="E7" s="26" t="n">
        <f aca="false">SUMPRODUCT(Supuestos!$D$23:$D$35*((B7-Supuestos!$I$23:$I$35)&gt;=Supuestos!$C$15)*((B7-Supuestos!$I$23:$I$35)&lt;=Supuestos!$C$16)*(MOD((B7-Supuestos!$I$23:$I$35)-Supuestos!$C$15,6)=0))/Supuestos!$C$17</f>
        <v>0</v>
      </c>
      <c r="F7" s="26" t="n">
        <f aca="false">F6+D7-E7</f>
        <v>312.1</v>
      </c>
      <c r="G7" s="17" t="n">
        <f aca="false">F7/Supuestos!$C$5</f>
        <v>1.29987505206164</v>
      </c>
      <c r="H7" s="26" t="n">
        <f aca="false">MAX(0,F6-Supuestos!$C$18)</f>
        <v>0</v>
      </c>
      <c r="I7" s="18" t="n">
        <f aca="false">IF(F7&gt;Supuestos!$C$18,I6+1,0)</f>
        <v>0</v>
      </c>
      <c r="J7" s="26" t="n">
        <f aca="false">F6*Supuestos!$C$19/12</f>
        <v>0.451389166666667</v>
      </c>
      <c r="K7" s="26" t="n">
        <f aca="false">H7*Supuestos!$C$11/12</f>
        <v>0</v>
      </c>
      <c r="L7" s="26" t="n">
        <f aca="false">IF(I6&gt;Supuestos!$C$12,H7*Supuestos!$C$13/12,0)</f>
        <v>0</v>
      </c>
      <c r="M7" s="26" t="n">
        <f aca="false">D7*Supuestos!$C$14</f>
        <v>0.78</v>
      </c>
      <c r="N7" s="26" t="n">
        <f aca="false">SUM(J7:M7)</f>
        <v>1.23138916666667</v>
      </c>
      <c r="O7" s="26" t="n">
        <f aca="false">E7+N7</f>
        <v>1.23138916666667</v>
      </c>
    </row>
    <row r="8" customFormat="false" ht="15" hidden="false" customHeight="false" outlineLevel="0" collapsed="false">
      <c r="A8" s="27" t="n">
        <f aca="false">EDATE(A7,1)</f>
        <v>46388</v>
      </c>
      <c r="B8" s="18" t="n">
        <f aca="false">YEAR(A8)*12+MONTH(A8)</f>
        <v>24325</v>
      </c>
      <c r="C8" s="18" t="n">
        <f aca="false">YEAR(A8)</f>
        <v>2027</v>
      </c>
      <c r="D8" s="26" t="n">
        <f aca="false">SUMIF(Supuestos!$I$23:$I$35,B8,Supuestos!$D$23:$D$35)</f>
        <v>0</v>
      </c>
      <c r="E8" s="26" t="n">
        <f aca="false">SUMPRODUCT(Supuestos!$D$23:$D$35*((B8-Supuestos!$I$23:$I$35)&gt;=Supuestos!$C$15)*((B8-Supuestos!$I$23:$I$35)&lt;=Supuestos!$C$16)*(MOD((B8-Supuestos!$I$23:$I$35)-Supuestos!$C$15,6)=0))/Supuestos!$C$17</f>
        <v>0</v>
      </c>
      <c r="F8" s="26" t="n">
        <f aca="false">F7+D8-E8</f>
        <v>312.1</v>
      </c>
      <c r="G8" s="17" t="n">
        <f aca="false">F8/Supuestos!$C$5</f>
        <v>1.29987505206164</v>
      </c>
      <c r="H8" s="26" t="n">
        <f aca="false">MAX(0,F7-Supuestos!$C$18)</f>
        <v>0</v>
      </c>
      <c r="I8" s="18" t="n">
        <f aca="false">IF(F8&gt;Supuestos!$C$18,I7+1,0)</f>
        <v>0</v>
      </c>
      <c r="J8" s="26" t="n">
        <f aca="false">F7*Supuestos!$C$19/12</f>
        <v>0.902489166666667</v>
      </c>
      <c r="K8" s="26" t="n">
        <f aca="false">H8*Supuestos!$C$11/12</f>
        <v>0</v>
      </c>
      <c r="L8" s="26" t="n">
        <f aca="false">IF(I7&gt;Supuestos!$C$12,H8*Supuestos!$C$13/12,0)</f>
        <v>0</v>
      </c>
      <c r="M8" s="26" t="n">
        <f aca="false">D8*Supuestos!$C$14</f>
        <v>0</v>
      </c>
      <c r="N8" s="26" t="n">
        <f aca="false">SUM(J8:M8)</f>
        <v>0.902489166666667</v>
      </c>
      <c r="O8" s="26" t="n">
        <f aca="false">E8+N8</f>
        <v>0.902489166666667</v>
      </c>
    </row>
    <row r="9" customFormat="false" ht="15" hidden="false" customHeight="false" outlineLevel="0" collapsed="false">
      <c r="A9" s="27" t="n">
        <f aca="false">EDATE(A8,1)</f>
        <v>46419</v>
      </c>
      <c r="B9" s="18" t="n">
        <f aca="false">YEAR(A9)*12+MONTH(A9)</f>
        <v>24326</v>
      </c>
      <c r="C9" s="18" t="n">
        <f aca="false">YEAR(A9)</f>
        <v>2027</v>
      </c>
      <c r="D9" s="26" t="n">
        <f aca="false">SUMIF(Supuestos!$I$23:$I$35,B9,Supuestos!$D$23:$D$35)</f>
        <v>0</v>
      </c>
      <c r="E9" s="26" t="n">
        <f aca="false">SUMPRODUCT(Supuestos!$D$23:$D$35*((B9-Supuestos!$I$23:$I$35)&gt;=Supuestos!$C$15)*((B9-Supuestos!$I$23:$I$35)&lt;=Supuestos!$C$16)*(MOD((B9-Supuestos!$I$23:$I$35)-Supuestos!$C$15,6)=0))/Supuestos!$C$17</f>
        <v>0</v>
      </c>
      <c r="F9" s="26" t="n">
        <f aca="false">F8+D9-E9</f>
        <v>312.1</v>
      </c>
      <c r="G9" s="17" t="n">
        <f aca="false">F9/Supuestos!$C$5</f>
        <v>1.29987505206164</v>
      </c>
      <c r="H9" s="26" t="n">
        <f aca="false">MAX(0,F8-Supuestos!$C$18)</f>
        <v>0</v>
      </c>
      <c r="I9" s="18" t="n">
        <f aca="false">IF(F9&gt;Supuestos!$C$18,I8+1,0)</f>
        <v>0</v>
      </c>
      <c r="J9" s="26" t="n">
        <f aca="false">F8*Supuestos!$C$19/12</f>
        <v>0.902489166666667</v>
      </c>
      <c r="K9" s="26" t="n">
        <f aca="false">H9*Supuestos!$C$11/12</f>
        <v>0</v>
      </c>
      <c r="L9" s="26" t="n">
        <f aca="false">IF(I8&gt;Supuestos!$C$12,H9*Supuestos!$C$13/12,0)</f>
        <v>0</v>
      </c>
      <c r="M9" s="26" t="n">
        <f aca="false">D9*Supuestos!$C$14</f>
        <v>0</v>
      </c>
      <c r="N9" s="26" t="n">
        <f aca="false">SUM(J9:M9)</f>
        <v>0.902489166666667</v>
      </c>
      <c r="O9" s="26" t="n">
        <f aca="false">E9+N9</f>
        <v>0.902489166666667</v>
      </c>
    </row>
    <row r="10" customFormat="false" ht="15" hidden="false" customHeight="false" outlineLevel="0" collapsed="false">
      <c r="A10" s="27" t="n">
        <f aca="false">EDATE(A9,1)</f>
        <v>46447</v>
      </c>
      <c r="B10" s="18" t="n">
        <f aca="false">YEAR(A10)*12+MONTH(A10)</f>
        <v>24327</v>
      </c>
      <c r="C10" s="18" t="n">
        <f aca="false">YEAR(A10)</f>
        <v>2027</v>
      </c>
      <c r="D10" s="26" t="n">
        <f aca="false">SUMIF(Supuestos!$I$23:$I$35,B10,Supuestos!$D$23:$D$35)</f>
        <v>96.08</v>
      </c>
      <c r="E10" s="26" t="n">
        <f aca="false">SUMPRODUCT(Supuestos!$D$23:$D$35*((B10-Supuestos!$I$23:$I$35)&gt;=Supuestos!$C$15)*((B10-Supuestos!$I$23:$I$35)&lt;=Supuestos!$C$16)*(MOD((B10-Supuestos!$I$23:$I$35)-Supuestos!$C$15,6)=0))/Supuestos!$C$17</f>
        <v>0</v>
      </c>
      <c r="F10" s="26" t="n">
        <f aca="false">F9+D10-E10</f>
        <v>408.18</v>
      </c>
      <c r="G10" s="17" t="n">
        <f aca="false">F10/Supuestos!$C$5</f>
        <v>1.70004164931279</v>
      </c>
      <c r="H10" s="26" t="n">
        <f aca="false">MAX(0,F9-Supuestos!$C$18)</f>
        <v>0</v>
      </c>
      <c r="I10" s="18" t="n">
        <f aca="false">IF(F10&gt;Supuestos!$C$18,I9+1,0)</f>
        <v>0</v>
      </c>
      <c r="J10" s="26" t="n">
        <f aca="false">F9*Supuestos!$C$19/12</f>
        <v>0.902489166666667</v>
      </c>
      <c r="K10" s="26" t="n">
        <f aca="false">H10*Supuestos!$C$11/12</f>
        <v>0</v>
      </c>
      <c r="L10" s="26" t="n">
        <f aca="false">IF(I9&gt;Supuestos!$C$12,H10*Supuestos!$C$13/12,0)</f>
        <v>0</v>
      </c>
      <c r="M10" s="26" t="n">
        <f aca="false">D10*Supuestos!$C$14</f>
        <v>0.4804</v>
      </c>
      <c r="N10" s="26" t="n">
        <f aca="false">SUM(J10:M10)</f>
        <v>1.38288916666667</v>
      </c>
      <c r="O10" s="26" t="n">
        <f aca="false">E10+N10</f>
        <v>1.38288916666667</v>
      </c>
    </row>
    <row r="11" customFormat="false" ht="15" hidden="false" customHeight="false" outlineLevel="0" collapsed="false">
      <c r="A11" s="27" t="n">
        <f aca="false">EDATE(A10,1)</f>
        <v>46478</v>
      </c>
      <c r="B11" s="18" t="n">
        <f aca="false">YEAR(A11)*12+MONTH(A11)</f>
        <v>24328</v>
      </c>
      <c r="C11" s="18" t="n">
        <f aca="false">YEAR(A11)</f>
        <v>2027</v>
      </c>
      <c r="D11" s="26" t="n">
        <f aca="false">SUMIF(Supuestos!$I$23:$I$35,B11,Supuestos!$D$23:$D$35)</f>
        <v>0</v>
      </c>
      <c r="E11" s="26" t="n">
        <f aca="false">SUMPRODUCT(Supuestos!$D$23:$D$35*((B11-Supuestos!$I$23:$I$35)&gt;=Supuestos!$C$15)*((B11-Supuestos!$I$23:$I$35)&lt;=Supuestos!$C$16)*(MOD((B11-Supuestos!$I$23:$I$35)-Supuestos!$C$15,6)=0))/Supuestos!$C$17</f>
        <v>0</v>
      </c>
      <c r="F11" s="26" t="n">
        <f aca="false">F10+D11-E11</f>
        <v>408.18</v>
      </c>
      <c r="G11" s="17" t="n">
        <f aca="false">F11/Supuestos!$C$5</f>
        <v>1.70004164931279</v>
      </c>
      <c r="H11" s="26" t="n">
        <f aca="false">MAX(0,F10-Supuestos!$C$18)</f>
        <v>0</v>
      </c>
      <c r="I11" s="18" t="n">
        <f aca="false">IF(F11&gt;Supuestos!$C$18,I10+1,0)</f>
        <v>0</v>
      </c>
      <c r="J11" s="26" t="n">
        <f aca="false">F10*Supuestos!$C$19/12</f>
        <v>1.1803205</v>
      </c>
      <c r="K11" s="26" t="n">
        <f aca="false">H11*Supuestos!$C$11/12</f>
        <v>0</v>
      </c>
      <c r="L11" s="26" t="n">
        <f aca="false">IF(I10&gt;Supuestos!$C$12,H11*Supuestos!$C$13/12,0)</f>
        <v>0</v>
      </c>
      <c r="M11" s="26" t="n">
        <f aca="false">D11*Supuestos!$C$14</f>
        <v>0</v>
      </c>
      <c r="N11" s="26" t="n">
        <f aca="false">SUM(J11:M11)</f>
        <v>1.1803205</v>
      </c>
      <c r="O11" s="26" t="n">
        <f aca="false">E11+N11</f>
        <v>1.1803205</v>
      </c>
    </row>
    <row r="12" customFormat="false" ht="15" hidden="false" customHeight="false" outlineLevel="0" collapsed="false">
      <c r="A12" s="27" t="n">
        <f aca="false">EDATE(A11,1)</f>
        <v>46508</v>
      </c>
      <c r="B12" s="18" t="n">
        <f aca="false">YEAR(A12)*12+MONTH(A12)</f>
        <v>24329</v>
      </c>
      <c r="C12" s="18" t="n">
        <f aca="false">YEAR(A12)</f>
        <v>2027</v>
      </c>
      <c r="D12" s="26" t="n">
        <f aca="false">SUMIF(Supuestos!$I$23:$I$35,B12,Supuestos!$D$23:$D$35)</f>
        <v>0</v>
      </c>
      <c r="E12" s="26" t="n">
        <f aca="false">SUMPRODUCT(Supuestos!$D$23:$D$35*((B12-Supuestos!$I$23:$I$35)&gt;=Supuestos!$C$15)*((B12-Supuestos!$I$23:$I$35)&lt;=Supuestos!$C$16)*(MOD((B12-Supuestos!$I$23:$I$35)-Supuestos!$C$15,6)=0))/Supuestos!$C$17</f>
        <v>0</v>
      </c>
      <c r="F12" s="26" t="n">
        <f aca="false">F11+D12-E12</f>
        <v>408.18</v>
      </c>
      <c r="G12" s="17" t="n">
        <f aca="false">F12/Supuestos!$C$5</f>
        <v>1.70004164931279</v>
      </c>
      <c r="H12" s="26" t="n">
        <f aca="false">MAX(0,F11-Supuestos!$C$18)</f>
        <v>0</v>
      </c>
      <c r="I12" s="18" t="n">
        <f aca="false">IF(F12&gt;Supuestos!$C$18,I11+1,0)</f>
        <v>0</v>
      </c>
      <c r="J12" s="26" t="n">
        <f aca="false">F11*Supuestos!$C$19/12</f>
        <v>1.1803205</v>
      </c>
      <c r="K12" s="26" t="n">
        <f aca="false">H12*Supuestos!$C$11/12</f>
        <v>0</v>
      </c>
      <c r="L12" s="26" t="n">
        <f aca="false">IF(I11&gt;Supuestos!$C$12,H12*Supuestos!$C$13/12,0)</f>
        <v>0</v>
      </c>
      <c r="M12" s="26" t="n">
        <f aca="false">D12*Supuestos!$C$14</f>
        <v>0</v>
      </c>
      <c r="N12" s="26" t="n">
        <f aca="false">SUM(J12:M12)</f>
        <v>1.1803205</v>
      </c>
      <c r="O12" s="26" t="n">
        <f aca="false">E12+N12</f>
        <v>1.1803205</v>
      </c>
    </row>
    <row r="13" customFormat="false" ht="15" hidden="false" customHeight="false" outlineLevel="0" collapsed="false">
      <c r="A13" s="27" t="n">
        <f aca="false">EDATE(A12,1)</f>
        <v>46539</v>
      </c>
      <c r="B13" s="18" t="n">
        <f aca="false">YEAR(A13)*12+MONTH(A13)</f>
        <v>24330</v>
      </c>
      <c r="C13" s="18" t="n">
        <f aca="false">YEAR(A13)</f>
        <v>2027</v>
      </c>
      <c r="D13" s="26" t="n">
        <f aca="false">SUMIF(Supuestos!$I$23:$I$35,B13,Supuestos!$D$23:$D$35)</f>
        <v>96.08</v>
      </c>
      <c r="E13" s="26" t="n">
        <f aca="false">SUMPRODUCT(Supuestos!$D$23:$D$35*((B13-Supuestos!$I$23:$I$35)&gt;=Supuestos!$C$15)*((B13-Supuestos!$I$23:$I$35)&lt;=Supuestos!$C$16)*(MOD((B13-Supuestos!$I$23:$I$35)-Supuestos!$C$15,6)=0))/Supuestos!$C$17</f>
        <v>0</v>
      </c>
      <c r="F13" s="26" t="n">
        <f aca="false">F12+D13-E13</f>
        <v>504.26</v>
      </c>
      <c r="G13" s="17" t="n">
        <f aca="false">F13/Supuestos!$C$5</f>
        <v>2.10020824656393</v>
      </c>
      <c r="H13" s="26" t="n">
        <f aca="false">MAX(0,F12-Supuestos!$C$18)</f>
        <v>0</v>
      </c>
      <c r="I13" s="18" t="n">
        <f aca="false">IF(F13&gt;Supuestos!$C$18,I12+1,0)</f>
        <v>0</v>
      </c>
      <c r="J13" s="26" t="n">
        <f aca="false">F12*Supuestos!$C$19/12</f>
        <v>1.1803205</v>
      </c>
      <c r="K13" s="26" t="n">
        <f aca="false">H13*Supuestos!$C$11/12</f>
        <v>0</v>
      </c>
      <c r="L13" s="26" t="n">
        <f aca="false">IF(I12&gt;Supuestos!$C$12,H13*Supuestos!$C$13/12,0)</f>
        <v>0</v>
      </c>
      <c r="M13" s="26" t="n">
        <f aca="false">D13*Supuestos!$C$14</f>
        <v>0.4804</v>
      </c>
      <c r="N13" s="26" t="n">
        <f aca="false">SUM(J13:M13)</f>
        <v>1.6607205</v>
      </c>
      <c r="O13" s="26" t="n">
        <f aca="false">E13+N13</f>
        <v>1.6607205</v>
      </c>
    </row>
    <row r="14" customFormat="false" ht="15" hidden="false" customHeight="false" outlineLevel="0" collapsed="false">
      <c r="A14" s="27" t="n">
        <f aca="false">EDATE(A13,1)</f>
        <v>46569</v>
      </c>
      <c r="B14" s="18" t="n">
        <f aca="false">YEAR(A14)*12+MONTH(A14)</f>
        <v>24331</v>
      </c>
      <c r="C14" s="18" t="n">
        <f aca="false">YEAR(A14)</f>
        <v>2027</v>
      </c>
      <c r="D14" s="26" t="n">
        <f aca="false">SUMIF(Supuestos!$I$23:$I$35,B14,Supuestos!$D$23:$D$35)</f>
        <v>0</v>
      </c>
      <c r="E14" s="26" t="n">
        <f aca="false">SUMPRODUCT(Supuestos!$D$23:$D$35*((B14-Supuestos!$I$23:$I$35)&gt;=Supuestos!$C$15)*((B14-Supuestos!$I$23:$I$35)&lt;=Supuestos!$C$16)*(MOD((B14-Supuestos!$I$23:$I$35)-Supuestos!$C$15,6)=0))/Supuestos!$C$17</f>
        <v>0</v>
      </c>
      <c r="F14" s="26" t="n">
        <f aca="false">F13+D14-E14</f>
        <v>504.26</v>
      </c>
      <c r="G14" s="17" t="n">
        <f aca="false">F14/Supuestos!$C$5</f>
        <v>2.10020824656393</v>
      </c>
      <c r="H14" s="26" t="n">
        <f aca="false">MAX(0,F13-Supuestos!$C$18)</f>
        <v>0</v>
      </c>
      <c r="I14" s="18" t="n">
        <f aca="false">IF(F14&gt;Supuestos!$C$18,I13+1,0)</f>
        <v>0</v>
      </c>
      <c r="J14" s="26" t="n">
        <f aca="false">F13*Supuestos!$C$19/12</f>
        <v>1.45815183333333</v>
      </c>
      <c r="K14" s="26" t="n">
        <f aca="false">H14*Supuestos!$C$11/12</f>
        <v>0</v>
      </c>
      <c r="L14" s="26" t="n">
        <f aca="false">IF(I13&gt;Supuestos!$C$12,H14*Supuestos!$C$13/12,0)</f>
        <v>0</v>
      </c>
      <c r="M14" s="26" t="n">
        <f aca="false">D14*Supuestos!$C$14</f>
        <v>0</v>
      </c>
      <c r="N14" s="26" t="n">
        <f aca="false">SUM(J14:M14)</f>
        <v>1.45815183333333</v>
      </c>
      <c r="O14" s="26" t="n">
        <f aca="false">E14+N14</f>
        <v>1.45815183333333</v>
      </c>
    </row>
    <row r="15" customFormat="false" ht="15" hidden="false" customHeight="false" outlineLevel="0" collapsed="false">
      <c r="A15" s="27" t="n">
        <f aca="false">EDATE(A14,1)</f>
        <v>46600</v>
      </c>
      <c r="B15" s="18" t="n">
        <f aca="false">YEAR(A15)*12+MONTH(A15)</f>
        <v>24332</v>
      </c>
      <c r="C15" s="18" t="n">
        <f aca="false">YEAR(A15)</f>
        <v>2027</v>
      </c>
      <c r="D15" s="26" t="n">
        <f aca="false">SUMIF(Supuestos!$I$23:$I$35,B15,Supuestos!$D$23:$D$35)</f>
        <v>0</v>
      </c>
      <c r="E15" s="26" t="n">
        <f aca="false">SUMPRODUCT(Supuestos!$D$23:$D$35*((B15-Supuestos!$I$23:$I$35)&gt;=Supuestos!$C$15)*((B15-Supuestos!$I$23:$I$35)&lt;=Supuestos!$C$16)*(MOD((B15-Supuestos!$I$23:$I$35)-Supuestos!$C$15,6)=0))/Supuestos!$C$17</f>
        <v>0</v>
      </c>
      <c r="F15" s="26" t="n">
        <f aca="false">F14+D15-E15</f>
        <v>504.26</v>
      </c>
      <c r="G15" s="17" t="n">
        <f aca="false">F15/Supuestos!$C$5</f>
        <v>2.10020824656393</v>
      </c>
      <c r="H15" s="26" t="n">
        <f aca="false">MAX(0,F14-Supuestos!$C$18)</f>
        <v>0</v>
      </c>
      <c r="I15" s="18" t="n">
        <f aca="false">IF(F15&gt;Supuestos!$C$18,I14+1,0)</f>
        <v>0</v>
      </c>
      <c r="J15" s="26" t="n">
        <f aca="false">F14*Supuestos!$C$19/12</f>
        <v>1.45815183333333</v>
      </c>
      <c r="K15" s="26" t="n">
        <f aca="false">H15*Supuestos!$C$11/12</f>
        <v>0</v>
      </c>
      <c r="L15" s="26" t="n">
        <f aca="false">IF(I14&gt;Supuestos!$C$12,H15*Supuestos!$C$13/12,0)</f>
        <v>0</v>
      </c>
      <c r="M15" s="26" t="n">
        <f aca="false">D15*Supuestos!$C$14</f>
        <v>0</v>
      </c>
      <c r="N15" s="26" t="n">
        <f aca="false">SUM(J15:M15)</f>
        <v>1.45815183333333</v>
      </c>
      <c r="O15" s="26" t="n">
        <f aca="false">E15+N15</f>
        <v>1.45815183333333</v>
      </c>
    </row>
    <row r="16" customFormat="false" ht="15" hidden="false" customHeight="false" outlineLevel="0" collapsed="false">
      <c r="A16" s="27" t="n">
        <f aca="false">EDATE(A15,1)</f>
        <v>46631</v>
      </c>
      <c r="B16" s="18" t="n">
        <f aca="false">YEAR(A16)*12+MONTH(A16)</f>
        <v>24333</v>
      </c>
      <c r="C16" s="18" t="n">
        <f aca="false">YEAR(A16)</f>
        <v>2027</v>
      </c>
      <c r="D16" s="26" t="n">
        <f aca="false">SUMIF(Supuestos!$I$23:$I$35,B16,Supuestos!$D$23:$D$35)</f>
        <v>96.08</v>
      </c>
      <c r="E16" s="26" t="n">
        <f aca="false">SUMPRODUCT(Supuestos!$D$23:$D$35*((B16-Supuestos!$I$23:$I$35)&gt;=Supuestos!$C$15)*((B16-Supuestos!$I$23:$I$35)&lt;=Supuestos!$C$16)*(MOD((B16-Supuestos!$I$23:$I$35)-Supuestos!$C$15,6)=0))/Supuestos!$C$17</f>
        <v>0</v>
      </c>
      <c r="F16" s="26" t="n">
        <f aca="false">F15+D16-E16</f>
        <v>600.34</v>
      </c>
      <c r="G16" s="17" t="n">
        <f aca="false">F16/Supuestos!$C$5</f>
        <v>2.50037484381508</v>
      </c>
      <c r="H16" s="26" t="n">
        <f aca="false">MAX(0,F15-Supuestos!$C$18)</f>
        <v>0</v>
      </c>
      <c r="I16" s="18" t="n">
        <f aca="false">IF(F16&gt;Supuestos!$C$18,I15+1,0)</f>
        <v>0</v>
      </c>
      <c r="J16" s="26" t="n">
        <f aca="false">F15*Supuestos!$C$19/12</f>
        <v>1.45815183333333</v>
      </c>
      <c r="K16" s="26" t="n">
        <f aca="false">H16*Supuestos!$C$11/12</f>
        <v>0</v>
      </c>
      <c r="L16" s="26" t="n">
        <f aca="false">IF(I15&gt;Supuestos!$C$12,H16*Supuestos!$C$13/12,0)</f>
        <v>0</v>
      </c>
      <c r="M16" s="26" t="n">
        <f aca="false">D16*Supuestos!$C$14</f>
        <v>0.4804</v>
      </c>
      <c r="N16" s="26" t="n">
        <f aca="false">SUM(J16:M16)</f>
        <v>1.93855183333333</v>
      </c>
      <c r="O16" s="26" t="n">
        <f aca="false">E16+N16</f>
        <v>1.93855183333333</v>
      </c>
    </row>
    <row r="17" customFormat="false" ht="15" hidden="false" customHeight="false" outlineLevel="0" collapsed="false">
      <c r="A17" s="27" t="n">
        <f aca="false">EDATE(A16,1)</f>
        <v>46661</v>
      </c>
      <c r="B17" s="18" t="n">
        <f aca="false">YEAR(A17)*12+MONTH(A17)</f>
        <v>24334</v>
      </c>
      <c r="C17" s="18" t="n">
        <f aca="false">YEAR(A17)</f>
        <v>2027</v>
      </c>
      <c r="D17" s="26" t="n">
        <f aca="false">SUMIF(Supuestos!$I$23:$I$35,B17,Supuestos!$D$23:$D$35)</f>
        <v>0</v>
      </c>
      <c r="E17" s="26" t="n">
        <f aca="false">SUMPRODUCT(Supuestos!$D$23:$D$35*((B17-Supuestos!$I$23:$I$35)&gt;=Supuestos!$C$15)*((B17-Supuestos!$I$23:$I$35)&lt;=Supuestos!$C$16)*(MOD((B17-Supuestos!$I$23:$I$35)-Supuestos!$C$15,6)=0))/Supuestos!$C$17</f>
        <v>0</v>
      </c>
      <c r="F17" s="26" t="n">
        <f aca="false">F16+D17-E17</f>
        <v>600.34</v>
      </c>
      <c r="G17" s="17" t="n">
        <f aca="false">F17/Supuestos!$C$5</f>
        <v>2.50037484381508</v>
      </c>
      <c r="H17" s="26" t="n">
        <f aca="false">MAX(0,F16-Supuestos!$C$18)</f>
        <v>0</v>
      </c>
      <c r="I17" s="18" t="n">
        <f aca="false">IF(F17&gt;Supuestos!$C$18,I16+1,0)</f>
        <v>0</v>
      </c>
      <c r="J17" s="26" t="n">
        <f aca="false">F16*Supuestos!$C$19/12</f>
        <v>1.73598316666667</v>
      </c>
      <c r="K17" s="26" t="n">
        <f aca="false">H17*Supuestos!$C$11/12</f>
        <v>0</v>
      </c>
      <c r="L17" s="26" t="n">
        <f aca="false">IF(I16&gt;Supuestos!$C$12,H17*Supuestos!$C$13/12,0)</f>
        <v>0</v>
      </c>
      <c r="M17" s="26" t="n">
        <f aca="false">D17*Supuestos!$C$14</f>
        <v>0</v>
      </c>
      <c r="N17" s="26" t="n">
        <f aca="false">SUM(J17:M17)</f>
        <v>1.73598316666667</v>
      </c>
      <c r="O17" s="26" t="n">
        <f aca="false">E17+N17</f>
        <v>1.73598316666667</v>
      </c>
    </row>
    <row r="18" customFormat="false" ht="15" hidden="false" customHeight="false" outlineLevel="0" collapsed="false">
      <c r="A18" s="27" t="n">
        <f aca="false">EDATE(A17,1)</f>
        <v>46692</v>
      </c>
      <c r="B18" s="18" t="n">
        <f aca="false">YEAR(A18)*12+MONTH(A18)</f>
        <v>24335</v>
      </c>
      <c r="C18" s="18" t="n">
        <f aca="false">YEAR(A18)</f>
        <v>2027</v>
      </c>
      <c r="D18" s="26" t="n">
        <f aca="false">SUMIF(Supuestos!$I$23:$I$35,B18,Supuestos!$D$23:$D$35)</f>
        <v>0</v>
      </c>
      <c r="E18" s="26" t="n">
        <f aca="false">SUMPRODUCT(Supuestos!$D$23:$D$35*((B18-Supuestos!$I$23:$I$35)&gt;=Supuestos!$C$15)*((B18-Supuestos!$I$23:$I$35)&lt;=Supuestos!$C$16)*(MOD((B18-Supuestos!$I$23:$I$35)-Supuestos!$C$15,6)=0))/Supuestos!$C$17</f>
        <v>0</v>
      </c>
      <c r="F18" s="26" t="n">
        <f aca="false">F17+D18-E18</f>
        <v>600.34</v>
      </c>
      <c r="G18" s="17" t="n">
        <f aca="false">F18/Supuestos!$C$5</f>
        <v>2.50037484381508</v>
      </c>
      <c r="H18" s="26" t="n">
        <f aca="false">MAX(0,F17-Supuestos!$C$18)</f>
        <v>0</v>
      </c>
      <c r="I18" s="18" t="n">
        <f aca="false">IF(F18&gt;Supuestos!$C$18,I17+1,0)</f>
        <v>0</v>
      </c>
      <c r="J18" s="26" t="n">
        <f aca="false">F17*Supuestos!$C$19/12</f>
        <v>1.73598316666667</v>
      </c>
      <c r="K18" s="26" t="n">
        <f aca="false">H18*Supuestos!$C$11/12</f>
        <v>0</v>
      </c>
      <c r="L18" s="26" t="n">
        <f aca="false">IF(I17&gt;Supuestos!$C$12,H18*Supuestos!$C$13/12,0)</f>
        <v>0</v>
      </c>
      <c r="M18" s="26" t="n">
        <f aca="false">D18*Supuestos!$C$14</f>
        <v>0</v>
      </c>
      <c r="N18" s="26" t="n">
        <f aca="false">SUM(J18:M18)</f>
        <v>1.73598316666667</v>
      </c>
      <c r="O18" s="26" t="n">
        <f aca="false">E18+N18</f>
        <v>1.73598316666667</v>
      </c>
    </row>
    <row r="19" customFormat="false" ht="15" hidden="false" customHeight="false" outlineLevel="0" collapsed="false">
      <c r="A19" s="27" t="n">
        <f aca="false">EDATE(A18,1)</f>
        <v>46722</v>
      </c>
      <c r="B19" s="18" t="n">
        <f aca="false">YEAR(A19)*12+MONTH(A19)</f>
        <v>24336</v>
      </c>
      <c r="C19" s="18" t="n">
        <f aca="false">YEAR(A19)</f>
        <v>2027</v>
      </c>
      <c r="D19" s="26" t="n">
        <f aca="false">SUMIF(Supuestos!$I$23:$I$35,B19,Supuestos!$D$23:$D$35)</f>
        <v>96.08</v>
      </c>
      <c r="E19" s="26" t="n">
        <f aca="false">SUMPRODUCT(Supuestos!$D$23:$D$35*((B19-Supuestos!$I$23:$I$35)&gt;=Supuestos!$C$15)*((B19-Supuestos!$I$23:$I$35)&lt;=Supuestos!$C$16)*(MOD((B19-Supuestos!$I$23:$I$35)-Supuestos!$C$15,6)=0))/Supuestos!$C$17</f>
        <v>0</v>
      </c>
      <c r="F19" s="26" t="n">
        <f aca="false">F18+D19-E19</f>
        <v>696.42</v>
      </c>
      <c r="G19" s="17" t="n">
        <f aca="false">F19/Supuestos!$C$5</f>
        <v>2.90054144106622</v>
      </c>
      <c r="H19" s="26" t="n">
        <f aca="false">MAX(0,F18-Supuestos!$C$18)</f>
        <v>0</v>
      </c>
      <c r="I19" s="18" t="n">
        <f aca="false">IF(F19&gt;Supuestos!$C$18,I18+1,0)</f>
        <v>0</v>
      </c>
      <c r="J19" s="26" t="n">
        <f aca="false">F18*Supuestos!$C$19/12</f>
        <v>1.73598316666667</v>
      </c>
      <c r="K19" s="26" t="n">
        <f aca="false">H19*Supuestos!$C$11/12</f>
        <v>0</v>
      </c>
      <c r="L19" s="26" t="n">
        <f aca="false">IF(I18&gt;Supuestos!$C$12,H19*Supuestos!$C$13/12,0)</f>
        <v>0</v>
      </c>
      <c r="M19" s="26" t="n">
        <f aca="false">D19*Supuestos!$C$14</f>
        <v>0.4804</v>
      </c>
      <c r="N19" s="26" t="n">
        <f aca="false">SUM(J19:M19)</f>
        <v>2.21638316666667</v>
      </c>
      <c r="O19" s="26" t="n">
        <f aca="false">E19+N19</f>
        <v>2.21638316666667</v>
      </c>
    </row>
    <row r="20" customFormat="false" ht="15" hidden="false" customHeight="false" outlineLevel="0" collapsed="false">
      <c r="A20" s="27" t="n">
        <f aca="false">EDATE(A19,1)</f>
        <v>46753</v>
      </c>
      <c r="B20" s="18" t="n">
        <f aca="false">YEAR(A20)*12+MONTH(A20)</f>
        <v>24337</v>
      </c>
      <c r="C20" s="18" t="n">
        <f aca="false">YEAR(A20)</f>
        <v>2028</v>
      </c>
      <c r="D20" s="26" t="n">
        <f aca="false">SUMIF(Supuestos!$I$23:$I$35,B20,Supuestos!$D$23:$D$35)</f>
        <v>0</v>
      </c>
      <c r="E20" s="26" t="n">
        <f aca="false">SUMPRODUCT(Supuestos!$D$23:$D$35*((B20-Supuestos!$I$23:$I$35)&gt;=Supuestos!$C$15)*((B20-Supuestos!$I$23:$I$35)&lt;=Supuestos!$C$16)*(MOD((B20-Supuestos!$I$23:$I$35)-Supuestos!$C$15,6)=0))/Supuestos!$C$17</f>
        <v>0</v>
      </c>
      <c r="F20" s="26" t="n">
        <f aca="false">F19+D20-E20</f>
        <v>696.42</v>
      </c>
      <c r="G20" s="17" t="n">
        <f aca="false">F20/Supuestos!$C$5</f>
        <v>2.90054144106622</v>
      </c>
      <c r="H20" s="26" t="n">
        <f aca="false">MAX(0,F19-Supuestos!$C$18)</f>
        <v>0</v>
      </c>
      <c r="I20" s="18" t="n">
        <f aca="false">IF(F20&gt;Supuestos!$C$18,I19+1,0)</f>
        <v>0</v>
      </c>
      <c r="J20" s="26" t="n">
        <f aca="false">F19*Supuestos!$C$19/12</f>
        <v>2.0138145</v>
      </c>
      <c r="K20" s="26" t="n">
        <f aca="false">H20*Supuestos!$C$11/12</f>
        <v>0</v>
      </c>
      <c r="L20" s="26" t="n">
        <f aca="false">IF(I19&gt;Supuestos!$C$12,H20*Supuestos!$C$13/12,0)</f>
        <v>0</v>
      </c>
      <c r="M20" s="26" t="n">
        <f aca="false">D20*Supuestos!$C$14</f>
        <v>0</v>
      </c>
      <c r="N20" s="26" t="n">
        <f aca="false">SUM(J20:M20)</f>
        <v>2.0138145</v>
      </c>
      <c r="O20" s="26" t="n">
        <f aca="false">E20+N20</f>
        <v>2.0138145</v>
      </c>
    </row>
    <row r="21" customFormat="false" ht="15" hidden="false" customHeight="false" outlineLevel="0" collapsed="false">
      <c r="A21" s="27" t="n">
        <f aca="false">EDATE(A20,1)</f>
        <v>46784</v>
      </c>
      <c r="B21" s="18" t="n">
        <f aca="false">YEAR(A21)*12+MONTH(A21)</f>
        <v>24338</v>
      </c>
      <c r="C21" s="18" t="n">
        <f aca="false">YEAR(A21)</f>
        <v>2028</v>
      </c>
      <c r="D21" s="26" t="n">
        <f aca="false">SUMIF(Supuestos!$I$23:$I$35,B21,Supuestos!$D$23:$D$35)</f>
        <v>0</v>
      </c>
      <c r="E21" s="26" t="n">
        <f aca="false">SUMPRODUCT(Supuestos!$D$23:$D$35*((B21-Supuestos!$I$23:$I$35)&gt;=Supuestos!$C$15)*((B21-Supuestos!$I$23:$I$35)&lt;=Supuestos!$C$16)*(MOD((B21-Supuestos!$I$23:$I$35)-Supuestos!$C$15,6)=0))/Supuestos!$C$17</f>
        <v>0</v>
      </c>
      <c r="F21" s="26" t="n">
        <f aca="false">F20+D21-E21</f>
        <v>696.42</v>
      </c>
      <c r="G21" s="17" t="n">
        <f aca="false">F21/Supuestos!$C$5</f>
        <v>2.90054144106622</v>
      </c>
      <c r="H21" s="26" t="n">
        <f aca="false">MAX(0,F20-Supuestos!$C$18)</f>
        <v>0</v>
      </c>
      <c r="I21" s="18" t="n">
        <f aca="false">IF(F21&gt;Supuestos!$C$18,I20+1,0)</f>
        <v>0</v>
      </c>
      <c r="J21" s="26" t="n">
        <f aca="false">F20*Supuestos!$C$19/12</f>
        <v>2.0138145</v>
      </c>
      <c r="K21" s="26" t="n">
        <f aca="false">H21*Supuestos!$C$11/12</f>
        <v>0</v>
      </c>
      <c r="L21" s="26" t="n">
        <f aca="false">IF(I20&gt;Supuestos!$C$12,H21*Supuestos!$C$13/12,0)</f>
        <v>0</v>
      </c>
      <c r="M21" s="26" t="n">
        <f aca="false">D21*Supuestos!$C$14</f>
        <v>0</v>
      </c>
      <c r="N21" s="26" t="n">
        <f aca="false">SUM(J21:M21)</f>
        <v>2.0138145</v>
      </c>
      <c r="O21" s="26" t="n">
        <f aca="false">E21+N21</f>
        <v>2.0138145</v>
      </c>
    </row>
    <row r="22" customFormat="false" ht="15" hidden="false" customHeight="false" outlineLevel="0" collapsed="false">
      <c r="A22" s="27" t="n">
        <f aca="false">EDATE(A21,1)</f>
        <v>46813</v>
      </c>
      <c r="B22" s="18" t="n">
        <f aca="false">YEAR(A22)*12+MONTH(A22)</f>
        <v>24339</v>
      </c>
      <c r="C22" s="18" t="n">
        <f aca="false">YEAR(A22)</f>
        <v>2028</v>
      </c>
      <c r="D22" s="26" t="n">
        <f aca="false">SUMIF(Supuestos!$I$23:$I$35,B22,Supuestos!$D$23:$D$35)</f>
        <v>96.08</v>
      </c>
      <c r="E22" s="26" t="n">
        <f aca="false">SUMPRODUCT(Supuestos!$D$23:$D$35*((B22-Supuestos!$I$23:$I$35)&gt;=Supuestos!$C$15)*((B22-Supuestos!$I$23:$I$35)&lt;=Supuestos!$C$16)*(MOD((B22-Supuestos!$I$23:$I$35)-Supuestos!$C$15,6)=0))/Supuestos!$C$17</f>
        <v>0</v>
      </c>
      <c r="F22" s="26" t="n">
        <f aca="false">F21+D22-E22</f>
        <v>792.5</v>
      </c>
      <c r="G22" s="17" t="n">
        <f aca="false">F22/Supuestos!$C$5</f>
        <v>3.30070803831737</v>
      </c>
      <c r="H22" s="26" t="n">
        <f aca="false">MAX(0,F21-Supuestos!$C$18)</f>
        <v>0</v>
      </c>
      <c r="I22" s="18" t="n">
        <f aca="false">IF(F22&gt;Supuestos!$C$18,I21+1,0)</f>
        <v>1</v>
      </c>
      <c r="J22" s="26" t="n">
        <f aca="false">F21*Supuestos!$C$19/12</f>
        <v>2.0138145</v>
      </c>
      <c r="K22" s="26" t="n">
        <f aca="false">H22*Supuestos!$C$11/12</f>
        <v>0</v>
      </c>
      <c r="L22" s="26" t="n">
        <f aca="false">IF(I21&gt;Supuestos!$C$12,H22*Supuestos!$C$13/12,0)</f>
        <v>0</v>
      </c>
      <c r="M22" s="26" t="n">
        <f aca="false">D22*Supuestos!$C$14</f>
        <v>0.4804</v>
      </c>
      <c r="N22" s="26" t="n">
        <f aca="false">SUM(J22:M22)</f>
        <v>2.4942145</v>
      </c>
      <c r="O22" s="26" t="n">
        <f aca="false">E22+N22</f>
        <v>2.4942145</v>
      </c>
    </row>
    <row r="23" customFormat="false" ht="15" hidden="false" customHeight="false" outlineLevel="0" collapsed="false">
      <c r="A23" s="27" t="n">
        <f aca="false">EDATE(A22,1)</f>
        <v>46844</v>
      </c>
      <c r="B23" s="18" t="n">
        <f aca="false">YEAR(A23)*12+MONTH(A23)</f>
        <v>24340</v>
      </c>
      <c r="C23" s="18" t="n">
        <f aca="false">YEAR(A23)</f>
        <v>2028</v>
      </c>
      <c r="D23" s="26" t="n">
        <f aca="false">SUMIF(Supuestos!$I$23:$I$35,B23,Supuestos!$D$23:$D$35)</f>
        <v>0</v>
      </c>
      <c r="E23" s="26" t="n">
        <f aca="false">SUMPRODUCT(Supuestos!$D$23:$D$35*((B23-Supuestos!$I$23:$I$35)&gt;=Supuestos!$C$15)*((B23-Supuestos!$I$23:$I$35)&lt;=Supuestos!$C$16)*(MOD((B23-Supuestos!$I$23:$I$35)-Supuestos!$C$15,6)=0))/Supuestos!$C$17</f>
        <v>0</v>
      </c>
      <c r="F23" s="26" t="n">
        <f aca="false">F22+D23-E23</f>
        <v>792.5</v>
      </c>
      <c r="G23" s="17" t="n">
        <f aca="false">F23/Supuestos!$C$5</f>
        <v>3.30070803831737</v>
      </c>
      <c r="H23" s="26" t="n">
        <f aca="false">MAX(0,F22-Supuestos!$C$18)</f>
        <v>72.2000000000002</v>
      </c>
      <c r="I23" s="18" t="n">
        <f aca="false">IF(F23&gt;Supuestos!$C$18,I22+1,0)</f>
        <v>2</v>
      </c>
      <c r="J23" s="26" t="n">
        <f aca="false">F22*Supuestos!$C$19/12</f>
        <v>2.29164583333333</v>
      </c>
      <c r="K23" s="26" t="n">
        <f aca="false">H23*Supuestos!$C$11/12</f>
        <v>0.120333333333334</v>
      </c>
      <c r="L23" s="26" t="n">
        <f aca="false">IF(I22&gt;Supuestos!$C$12,H23*Supuestos!$C$13/12,0)</f>
        <v>0</v>
      </c>
      <c r="M23" s="26" t="n">
        <f aca="false">D23*Supuestos!$C$14</f>
        <v>0</v>
      </c>
      <c r="N23" s="26" t="n">
        <f aca="false">SUM(J23:M23)</f>
        <v>2.41197916666667</v>
      </c>
      <c r="O23" s="26" t="n">
        <f aca="false">E23+N23</f>
        <v>2.41197916666667</v>
      </c>
    </row>
    <row r="24" customFormat="false" ht="15" hidden="false" customHeight="false" outlineLevel="0" collapsed="false">
      <c r="A24" s="27" t="n">
        <f aca="false">EDATE(A23,1)</f>
        <v>46874</v>
      </c>
      <c r="B24" s="18" t="n">
        <f aca="false">YEAR(A24)*12+MONTH(A24)</f>
        <v>24341</v>
      </c>
      <c r="C24" s="18" t="n">
        <f aca="false">YEAR(A24)</f>
        <v>2028</v>
      </c>
      <c r="D24" s="26" t="n">
        <f aca="false">SUMIF(Supuestos!$I$23:$I$35,B24,Supuestos!$D$23:$D$35)</f>
        <v>0</v>
      </c>
      <c r="E24" s="26" t="n">
        <f aca="false">SUMPRODUCT(Supuestos!$D$23:$D$35*((B24-Supuestos!$I$23:$I$35)&gt;=Supuestos!$C$15)*((B24-Supuestos!$I$23:$I$35)&lt;=Supuestos!$C$16)*(MOD((B24-Supuestos!$I$23:$I$35)-Supuestos!$C$15,6)=0))/Supuestos!$C$17</f>
        <v>0</v>
      </c>
      <c r="F24" s="26" t="n">
        <f aca="false">F23+D24-E24</f>
        <v>792.5</v>
      </c>
      <c r="G24" s="17" t="n">
        <f aca="false">F24/Supuestos!$C$5</f>
        <v>3.30070803831737</v>
      </c>
      <c r="H24" s="26" t="n">
        <f aca="false">MAX(0,F23-Supuestos!$C$18)</f>
        <v>72.2000000000002</v>
      </c>
      <c r="I24" s="18" t="n">
        <f aca="false">IF(F24&gt;Supuestos!$C$18,I23+1,0)</f>
        <v>3</v>
      </c>
      <c r="J24" s="26" t="n">
        <f aca="false">F23*Supuestos!$C$19/12</f>
        <v>2.29164583333333</v>
      </c>
      <c r="K24" s="26" t="n">
        <f aca="false">H24*Supuestos!$C$11/12</f>
        <v>0.120333333333334</v>
      </c>
      <c r="L24" s="26" t="n">
        <f aca="false">IF(I23&gt;Supuestos!$C$12,H24*Supuestos!$C$13/12,0)</f>
        <v>0</v>
      </c>
      <c r="M24" s="26" t="n">
        <f aca="false">D24*Supuestos!$C$14</f>
        <v>0</v>
      </c>
      <c r="N24" s="26" t="n">
        <f aca="false">SUM(J24:M24)</f>
        <v>2.41197916666667</v>
      </c>
      <c r="O24" s="26" t="n">
        <f aca="false">E24+N24</f>
        <v>2.41197916666667</v>
      </c>
    </row>
    <row r="25" customFormat="false" ht="15" hidden="false" customHeight="false" outlineLevel="0" collapsed="false">
      <c r="A25" s="27" t="n">
        <f aca="false">EDATE(A24,1)</f>
        <v>46905</v>
      </c>
      <c r="B25" s="18" t="n">
        <f aca="false">YEAR(A25)*12+MONTH(A25)</f>
        <v>24342</v>
      </c>
      <c r="C25" s="18" t="n">
        <f aca="false">YEAR(A25)</f>
        <v>2028</v>
      </c>
      <c r="D25" s="26" t="n">
        <f aca="false">SUMIF(Supuestos!$I$23:$I$35,B25,Supuestos!$D$23:$D$35)</f>
        <v>96.08</v>
      </c>
      <c r="E25" s="26" t="n">
        <f aca="false">SUMPRODUCT(Supuestos!$D$23:$D$35*((B25-Supuestos!$I$23:$I$35)&gt;=Supuestos!$C$15)*((B25-Supuestos!$I$23:$I$35)&lt;=Supuestos!$C$16)*(MOD((B25-Supuestos!$I$23:$I$35)-Supuestos!$C$15,6)=0))/Supuestos!$C$17</f>
        <v>0</v>
      </c>
      <c r="F25" s="26" t="n">
        <f aca="false">F24+D25-E25</f>
        <v>888.58</v>
      </c>
      <c r="G25" s="17" t="n">
        <f aca="false">F25/Supuestos!$C$5</f>
        <v>3.70087463556851</v>
      </c>
      <c r="H25" s="26" t="n">
        <f aca="false">MAX(0,F24-Supuestos!$C$18)</f>
        <v>72.2000000000002</v>
      </c>
      <c r="I25" s="18" t="n">
        <f aca="false">IF(F25&gt;Supuestos!$C$18,I24+1,0)</f>
        <v>4</v>
      </c>
      <c r="J25" s="26" t="n">
        <f aca="false">F24*Supuestos!$C$19/12</f>
        <v>2.29164583333333</v>
      </c>
      <c r="K25" s="26" t="n">
        <f aca="false">H25*Supuestos!$C$11/12</f>
        <v>0.120333333333334</v>
      </c>
      <c r="L25" s="26" t="n">
        <f aca="false">IF(I24&gt;Supuestos!$C$12,H25*Supuestos!$C$13/12,0)</f>
        <v>0</v>
      </c>
      <c r="M25" s="26" t="n">
        <f aca="false">D25*Supuestos!$C$14</f>
        <v>0.4804</v>
      </c>
      <c r="N25" s="26" t="n">
        <f aca="false">SUM(J25:M25)</f>
        <v>2.89237916666667</v>
      </c>
      <c r="O25" s="26" t="n">
        <f aca="false">E25+N25</f>
        <v>2.89237916666667</v>
      </c>
    </row>
    <row r="26" customFormat="false" ht="15" hidden="false" customHeight="false" outlineLevel="0" collapsed="false">
      <c r="A26" s="27" t="n">
        <f aca="false">EDATE(A25,1)</f>
        <v>46935</v>
      </c>
      <c r="B26" s="18" t="n">
        <f aca="false">YEAR(A26)*12+MONTH(A26)</f>
        <v>24343</v>
      </c>
      <c r="C26" s="18" t="n">
        <f aca="false">YEAR(A26)</f>
        <v>2028</v>
      </c>
      <c r="D26" s="26" t="n">
        <f aca="false">SUMIF(Supuestos!$I$23:$I$35,B26,Supuestos!$D$23:$D$35)</f>
        <v>0</v>
      </c>
      <c r="E26" s="26" t="n">
        <f aca="false">SUMPRODUCT(Supuestos!$D$23:$D$35*((B26-Supuestos!$I$23:$I$35)&gt;=Supuestos!$C$15)*((B26-Supuestos!$I$23:$I$35)&lt;=Supuestos!$C$16)*(MOD((B26-Supuestos!$I$23:$I$35)-Supuestos!$C$15,6)=0))/Supuestos!$C$17</f>
        <v>0</v>
      </c>
      <c r="F26" s="26" t="n">
        <f aca="false">F25+D26-E26</f>
        <v>888.58</v>
      </c>
      <c r="G26" s="17" t="n">
        <f aca="false">F26/Supuestos!$C$5</f>
        <v>3.70087463556851</v>
      </c>
      <c r="H26" s="26" t="n">
        <f aca="false">MAX(0,F25-Supuestos!$C$18)</f>
        <v>168.28</v>
      </c>
      <c r="I26" s="18" t="n">
        <f aca="false">IF(F26&gt;Supuestos!$C$18,I25+1,0)</f>
        <v>5</v>
      </c>
      <c r="J26" s="26" t="n">
        <f aca="false">F25*Supuestos!$C$19/12</f>
        <v>2.56947716666667</v>
      </c>
      <c r="K26" s="26" t="n">
        <f aca="false">H26*Supuestos!$C$11/12</f>
        <v>0.280466666666667</v>
      </c>
      <c r="L26" s="26" t="n">
        <f aca="false">IF(I25&gt;Supuestos!$C$12,H26*Supuestos!$C$13/12,0)</f>
        <v>0</v>
      </c>
      <c r="M26" s="26" t="n">
        <f aca="false">D26*Supuestos!$C$14</f>
        <v>0</v>
      </c>
      <c r="N26" s="26" t="n">
        <f aca="false">SUM(J26:M26)</f>
        <v>2.84994383333333</v>
      </c>
      <c r="O26" s="26" t="n">
        <f aca="false">E26+N26</f>
        <v>2.84994383333333</v>
      </c>
    </row>
    <row r="27" customFormat="false" ht="15" hidden="false" customHeight="false" outlineLevel="0" collapsed="false">
      <c r="A27" s="27" t="n">
        <f aca="false">EDATE(A26,1)</f>
        <v>46966</v>
      </c>
      <c r="B27" s="18" t="n">
        <f aca="false">YEAR(A27)*12+MONTH(A27)</f>
        <v>24344</v>
      </c>
      <c r="C27" s="18" t="n">
        <f aca="false">YEAR(A27)</f>
        <v>2028</v>
      </c>
      <c r="D27" s="26" t="n">
        <f aca="false">SUMIF(Supuestos!$I$23:$I$35,B27,Supuestos!$D$23:$D$35)</f>
        <v>0</v>
      </c>
      <c r="E27" s="26" t="n">
        <f aca="false">SUMPRODUCT(Supuestos!$D$23:$D$35*((B27-Supuestos!$I$23:$I$35)&gt;=Supuestos!$C$15)*((B27-Supuestos!$I$23:$I$35)&lt;=Supuestos!$C$16)*(MOD((B27-Supuestos!$I$23:$I$35)-Supuestos!$C$15,6)=0))/Supuestos!$C$17</f>
        <v>0</v>
      </c>
      <c r="F27" s="26" t="n">
        <f aca="false">F26+D27-E27</f>
        <v>888.58</v>
      </c>
      <c r="G27" s="17" t="n">
        <f aca="false">F27/Supuestos!$C$5</f>
        <v>3.70087463556851</v>
      </c>
      <c r="H27" s="26" t="n">
        <f aca="false">MAX(0,F26-Supuestos!$C$18)</f>
        <v>168.28</v>
      </c>
      <c r="I27" s="18" t="n">
        <f aca="false">IF(F27&gt;Supuestos!$C$18,I26+1,0)</f>
        <v>6</v>
      </c>
      <c r="J27" s="26" t="n">
        <f aca="false">F26*Supuestos!$C$19/12</f>
        <v>2.56947716666667</v>
      </c>
      <c r="K27" s="26" t="n">
        <f aca="false">H27*Supuestos!$C$11/12</f>
        <v>0.280466666666667</v>
      </c>
      <c r="L27" s="26" t="n">
        <f aca="false">IF(I26&gt;Supuestos!$C$12,H27*Supuestos!$C$13/12,0)</f>
        <v>0</v>
      </c>
      <c r="M27" s="26" t="n">
        <f aca="false">D27*Supuestos!$C$14</f>
        <v>0</v>
      </c>
      <c r="N27" s="26" t="n">
        <f aca="false">SUM(J27:M27)</f>
        <v>2.84994383333333</v>
      </c>
      <c r="O27" s="26" t="n">
        <f aca="false">E27+N27</f>
        <v>2.84994383333333</v>
      </c>
    </row>
    <row r="28" customFormat="false" ht="15" hidden="false" customHeight="false" outlineLevel="0" collapsed="false">
      <c r="A28" s="27" t="n">
        <f aca="false">EDATE(A27,1)</f>
        <v>46997</v>
      </c>
      <c r="B28" s="18" t="n">
        <f aca="false">YEAR(A28)*12+MONTH(A28)</f>
        <v>24345</v>
      </c>
      <c r="C28" s="18" t="n">
        <f aca="false">YEAR(A28)</f>
        <v>2028</v>
      </c>
      <c r="D28" s="26" t="n">
        <f aca="false">SUMIF(Supuestos!$I$23:$I$35,B28,Supuestos!$D$23:$D$35)</f>
        <v>96.08</v>
      </c>
      <c r="E28" s="26" t="n">
        <f aca="false">SUMPRODUCT(Supuestos!$D$23:$D$35*((B28-Supuestos!$I$23:$I$35)&gt;=Supuestos!$C$15)*((B28-Supuestos!$I$23:$I$35)&lt;=Supuestos!$C$16)*(MOD((B28-Supuestos!$I$23:$I$35)-Supuestos!$C$15,6)=0))/Supuestos!$C$17</f>
        <v>0</v>
      </c>
      <c r="F28" s="26" t="n">
        <f aca="false">F27+D28-E28</f>
        <v>984.66</v>
      </c>
      <c r="G28" s="17" t="n">
        <f aca="false">F28/Supuestos!$C$5</f>
        <v>4.10104123281966</v>
      </c>
      <c r="H28" s="26" t="n">
        <f aca="false">MAX(0,F27-Supuestos!$C$18)</f>
        <v>168.28</v>
      </c>
      <c r="I28" s="18" t="n">
        <f aca="false">IF(F28&gt;Supuestos!$C$18,I27+1,0)</f>
        <v>7</v>
      </c>
      <c r="J28" s="26" t="n">
        <f aca="false">F27*Supuestos!$C$19/12</f>
        <v>2.56947716666667</v>
      </c>
      <c r="K28" s="26" t="n">
        <f aca="false">H28*Supuestos!$C$11/12</f>
        <v>0.280466666666667</v>
      </c>
      <c r="L28" s="26" t="n">
        <f aca="false">IF(I27&gt;Supuestos!$C$12,H28*Supuestos!$C$13/12,0)</f>
        <v>0</v>
      </c>
      <c r="M28" s="26" t="n">
        <f aca="false">D28*Supuestos!$C$14</f>
        <v>0.4804</v>
      </c>
      <c r="N28" s="26" t="n">
        <f aca="false">SUM(J28:M28)</f>
        <v>3.33034383333333</v>
      </c>
      <c r="O28" s="26" t="n">
        <f aca="false">E28+N28</f>
        <v>3.33034383333333</v>
      </c>
    </row>
    <row r="29" customFormat="false" ht="15" hidden="false" customHeight="false" outlineLevel="0" collapsed="false">
      <c r="A29" s="27" t="n">
        <f aca="false">EDATE(A28,1)</f>
        <v>47027</v>
      </c>
      <c r="B29" s="18" t="n">
        <f aca="false">YEAR(A29)*12+MONTH(A29)</f>
        <v>24346</v>
      </c>
      <c r="C29" s="18" t="n">
        <f aca="false">YEAR(A29)</f>
        <v>2028</v>
      </c>
      <c r="D29" s="26" t="n">
        <f aca="false">SUMIF(Supuestos!$I$23:$I$35,B29,Supuestos!$D$23:$D$35)</f>
        <v>0</v>
      </c>
      <c r="E29" s="26" t="n">
        <f aca="false">SUMPRODUCT(Supuestos!$D$23:$D$35*((B29-Supuestos!$I$23:$I$35)&gt;=Supuestos!$C$15)*((B29-Supuestos!$I$23:$I$35)&lt;=Supuestos!$C$16)*(MOD((B29-Supuestos!$I$23:$I$35)-Supuestos!$C$15,6)=0))/Supuestos!$C$17</f>
        <v>0</v>
      </c>
      <c r="F29" s="26" t="n">
        <f aca="false">F28+D29-E29</f>
        <v>984.66</v>
      </c>
      <c r="G29" s="17" t="n">
        <f aca="false">F29/Supuestos!$C$5</f>
        <v>4.10104123281966</v>
      </c>
      <c r="H29" s="26" t="n">
        <f aca="false">MAX(0,F28-Supuestos!$C$18)</f>
        <v>264.36</v>
      </c>
      <c r="I29" s="18" t="n">
        <f aca="false">IF(F29&gt;Supuestos!$C$18,I28+1,0)</f>
        <v>8</v>
      </c>
      <c r="J29" s="26" t="n">
        <f aca="false">F28*Supuestos!$C$19/12</f>
        <v>2.8473085</v>
      </c>
      <c r="K29" s="26" t="n">
        <f aca="false">H29*Supuestos!$C$11/12</f>
        <v>0.4406</v>
      </c>
      <c r="L29" s="26" t="n">
        <f aca="false">IF(I28&gt;Supuestos!$C$12,H29*Supuestos!$C$13/12,0)</f>
        <v>0</v>
      </c>
      <c r="M29" s="26" t="n">
        <f aca="false">D29*Supuestos!$C$14</f>
        <v>0</v>
      </c>
      <c r="N29" s="26" t="n">
        <f aca="false">SUM(J29:M29)</f>
        <v>3.2879085</v>
      </c>
      <c r="O29" s="26" t="n">
        <f aca="false">E29+N29</f>
        <v>3.2879085</v>
      </c>
    </row>
    <row r="30" customFormat="false" ht="15" hidden="false" customHeight="false" outlineLevel="0" collapsed="false">
      <c r="A30" s="27" t="n">
        <f aca="false">EDATE(A29,1)</f>
        <v>47058</v>
      </c>
      <c r="B30" s="18" t="n">
        <f aca="false">YEAR(A30)*12+MONTH(A30)</f>
        <v>24347</v>
      </c>
      <c r="C30" s="18" t="n">
        <f aca="false">YEAR(A30)</f>
        <v>2028</v>
      </c>
      <c r="D30" s="26" t="n">
        <f aca="false">SUMIF(Supuestos!$I$23:$I$35,B30,Supuestos!$D$23:$D$35)</f>
        <v>0</v>
      </c>
      <c r="E30" s="26" t="n">
        <f aca="false">SUMPRODUCT(Supuestos!$D$23:$D$35*((B30-Supuestos!$I$23:$I$35)&gt;=Supuestos!$C$15)*((B30-Supuestos!$I$23:$I$35)&lt;=Supuestos!$C$16)*(MOD((B30-Supuestos!$I$23:$I$35)-Supuestos!$C$15,6)=0))/Supuestos!$C$17</f>
        <v>0</v>
      </c>
      <c r="F30" s="26" t="n">
        <f aca="false">F29+D30-E30</f>
        <v>984.66</v>
      </c>
      <c r="G30" s="17" t="n">
        <f aca="false">F30/Supuestos!$C$5</f>
        <v>4.10104123281966</v>
      </c>
      <c r="H30" s="26" t="n">
        <f aca="false">MAX(0,F29-Supuestos!$C$18)</f>
        <v>264.36</v>
      </c>
      <c r="I30" s="18" t="n">
        <f aca="false">IF(F30&gt;Supuestos!$C$18,I29+1,0)</f>
        <v>9</v>
      </c>
      <c r="J30" s="26" t="n">
        <f aca="false">F29*Supuestos!$C$19/12</f>
        <v>2.8473085</v>
      </c>
      <c r="K30" s="26" t="n">
        <f aca="false">H30*Supuestos!$C$11/12</f>
        <v>0.4406</v>
      </c>
      <c r="L30" s="26" t="n">
        <f aca="false">IF(I29&gt;Supuestos!$C$12,H30*Supuestos!$C$13/12,0)</f>
        <v>0</v>
      </c>
      <c r="M30" s="26" t="n">
        <f aca="false">D30*Supuestos!$C$14</f>
        <v>0</v>
      </c>
      <c r="N30" s="26" t="n">
        <f aca="false">SUM(J30:M30)</f>
        <v>3.2879085</v>
      </c>
      <c r="O30" s="26" t="n">
        <f aca="false">E30+N30</f>
        <v>3.2879085</v>
      </c>
    </row>
    <row r="31" customFormat="false" ht="15" hidden="false" customHeight="false" outlineLevel="0" collapsed="false">
      <c r="A31" s="27" t="n">
        <f aca="false">EDATE(A30,1)</f>
        <v>47088</v>
      </c>
      <c r="B31" s="18" t="n">
        <f aca="false">YEAR(A31)*12+MONTH(A31)</f>
        <v>24348</v>
      </c>
      <c r="C31" s="18" t="n">
        <f aca="false">YEAR(A31)</f>
        <v>2028</v>
      </c>
      <c r="D31" s="26" t="n">
        <f aca="false">SUMIF(Supuestos!$I$23:$I$35,B31,Supuestos!$D$23:$D$35)</f>
        <v>96.08</v>
      </c>
      <c r="E31" s="26" t="n">
        <f aca="false">SUMPRODUCT(Supuestos!$D$23:$D$35*((B31-Supuestos!$I$23:$I$35)&gt;=Supuestos!$C$15)*((B31-Supuestos!$I$23:$I$35)&lt;=Supuestos!$C$16)*(MOD((B31-Supuestos!$I$23:$I$35)-Supuestos!$C$15,6)=0))/Supuestos!$C$17</f>
        <v>0</v>
      </c>
      <c r="F31" s="26" t="n">
        <f aca="false">F30+D31-E31</f>
        <v>1080.74</v>
      </c>
      <c r="G31" s="17" t="n">
        <f aca="false">F31/Supuestos!$C$5</f>
        <v>4.50120783007081</v>
      </c>
      <c r="H31" s="26" t="n">
        <f aca="false">MAX(0,F30-Supuestos!$C$18)</f>
        <v>264.36</v>
      </c>
      <c r="I31" s="18" t="n">
        <f aca="false">IF(F31&gt;Supuestos!$C$18,I30+1,0)</f>
        <v>10</v>
      </c>
      <c r="J31" s="26" t="n">
        <f aca="false">F30*Supuestos!$C$19/12</f>
        <v>2.8473085</v>
      </c>
      <c r="K31" s="26" t="n">
        <f aca="false">H31*Supuestos!$C$11/12</f>
        <v>0.4406</v>
      </c>
      <c r="L31" s="26" t="n">
        <f aca="false">IF(I30&gt;Supuestos!$C$12,H31*Supuestos!$C$13/12,0)</f>
        <v>0</v>
      </c>
      <c r="M31" s="26" t="n">
        <f aca="false">D31*Supuestos!$C$14</f>
        <v>0.4804</v>
      </c>
      <c r="N31" s="26" t="n">
        <f aca="false">SUM(J31:M31)</f>
        <v>3.7683085</v>
      </c>
      <c r="O31" s="26" t="n">
        <f aca="false">E31+N31</f>
        <v>3.7683085</v>
      </c>
    </row>
    <row r="32" customFormat="false" ht="15" hidden="false" customHeight="false" outlineLevel="0" collapsed="false">
      <c r="A32" s="27" t="n">
        <f aca="false">EDATE(A31,1)</f>
        <v>47119</v>
      </c>
      <c r="B32" s="18" t="n">
        <f aca="false">YEAR(A32)*12+MONTH(A32)</f>
        <v>24349</v>
      </c>
      <c r="C32" s="18" t="n">
        <f aca="false">YEAR(A32)</f>
        <v>2029</v>
      </c>
      <c r="D32" s="26" t="n">
        <f aca="false">SUMIF(Supuestos!$I$23:$I$35,B32,Supuestos!$D$23:$D$35)</f>
        <v>0</v>
      </c>
      <c r="E32" s="26" t="n">
        <f aca="false">SUMPRODUCT(Supuestos!$D$23:$D$35*((B32-Supuestos!$I$23:$I$35)&gt;=Supuestos!$C$15)*((B32-Supuestos!$I$23:$I$35)&lt;=Supuestos!$C$16)*(MOD((B32-Supuestos!$I$23:$I$35)-Supuestos!$C$15,6)=0))/Supuestos!$C$17</f>
        <v>0</v>
      </c>
      <c r="F32" s="26" t="n">
        <f aca="false">F31+D32-E32</f>
        <v>1080.74</v>
      </c>
      <c r="G32" s="17" t="n">
        <f aca="false">F32/Supuestos!$C$5</f>
        <v>4.50120783007081</v>
      </c>
      <c r="H32" s="26" t="n">
        <f aca="false">MAX(0,F31-Supuestos!$C$18)</f>
        <v>360.44</v>
      </c>
      <c r="I32" s="18" t="n">
        <f aca="false">IF(F32&gt;Supuestos!$C$18,I31+1,0)</f>
        <v>11</v>
      </c>
      <c r="J32" s="26" t="n">
        <f aca="false">F31*Supuestos!$C$19/12</f>
        <v>3.12513983333333</v>
      </c>
      <c r="K32" s="26" t="n">
        <f aca="false">H32*Supuestos!$C$11/12</f>
        <v>0.600733333333334</v>
      </c>
      <c r="L32" s="26" t="n">
        <f aca="false">IF(I31&gt;Supuestos!$C$12,H32*Supuestos!$C$13/12,0)</f>
        <v>0</v>
      </c>
      <c r="M32" s="26" t="n">
        <f aca="false">D32*Supuestos!$C$14</f>
        <v>0</v>
      </c>
      <c r="N32" s="26" t="n">
        <f aca="false">SUM(J32:M32)</f>
        <v>3.72587316666667</v>
      </c>
      <c r="O32" s="26" t="n">
        <f aca="false">E32+N32</f>
        <v>3.72587316666667</v>
      </c>
    </row>
    <row r="33" customFormat="false" ht="15" hidden="false" customHeight="false" outlineLevel="0" collapsed="false">
      <c r="A33" s="27" t="n">
        <f aca="false">EDATE(A32,1)</f>
        <v>47150</v>
      </c>
      <c r="B33" s="18" t="n">
        <f aca="false">YEAR(A33)*12+MONTH(A33)</f>
        <v>24350</v>
      </c>
      <c r="C33" s="18" t="n">
        <f aca="false">YEAR(A33)</f>
        <v>2029</v>
      </c>
      <c r="D33" s="26" t="n">
        <f aca="false">SUMIF(Supuestos!$I$23:$I$35,B33,Supuestos!$D$23:$D$35)</f>
        <v>0</v>
      </c>
      <c r="E33" s="26" t="n">
        <f aca="false">SUMPRODUCT(Supuestos!$D$23:$D$35*((B33-Supuestos!$I$23:$I$35)&gt;=Supuestos!$C$15)*((B33-Supuestos!$I$23:$I$35)&lt;=Supuestos!$C$16)*(MOD((B33-Supuestos!$I$23:$I$35)-Supuestos!$C$15,6)=0))/Supuestos!$C$17</f>
        <v>0</v>
      </c>
      <c r="F33" s="26" t="n">
        <f aca="false">F32+D33-E33</f>
        <v>1080.74</v>
      </c>
      <c r="G33" s="17" t="n">
        <f aca="false">F33/Supuestos!$C$5</f>
        <v>4.50120783007081</v>
      </c>
      <c r="H33" s="26" t="n">
        <f aca="false">MAX(0,F32-Supuestos!$C$18)</f>
        <v>360.44</v>
      </c>
      <c r="I33" s="18" t="n">
        <f aca="false">IF(F33&gt;Supuestos!$C$18,I32+1,0)</f>
        <v>12</v>
      </c>
      <c r="J33" s="26" t="n">
        <f aca="false">F32*Supuestos!$C$19/12</f>
        <v>3.12513983333333</v>
      </c>
      <c r="K33" s="26" t="n">
        <f aca="false">H33*Supuestos!$C$11/12</f>
        <v>0.600733333333334</v>
      </c>
      <c r="L33" s="26" t="n">
        <f aca="false">IF(I32&gt;Supuestos!$C$12,H33*Supuestos!$C$13/12,0)</f>
        <v>0</v>
      </c>
      <c r="M33" s="26" t="n">
        <f aca="false">D33*Supuestos!$C$14</f>
        <v>0</v>
      </c>
      <c r="N33" s="26" t="n">
        <f aca="false">SUM(J33:M33)</f>
        <v>3.72587316666667</v>
      </c>
      <c r="O33" s="26" t="n">
        <f aca="false">E33+N33</f>
        <v>3.72587316666667</v>
      </c>
    </row>
    <row r="34" customFormat="false" ht="15" hidden="false" customHeight="false" outlineLevel="0" collapsed="false">
      <c r="A34" s="27" t="n">
        <f aca="false">EDATE(A33,1)</f>
        <v>47178</v>
      </c>
      <c r="B34" s="18" t="n">
        <f aca="false">YEAR(A34)*12+MONTH(A34)</f>
        <v>24351</v>
      </c>
      <c r="C34" s="18" t="n">
        <f aca="false">YEAR(A34)</f>
        <v>2029</v>
      </c>
      <c r="D34" s="26" t="n">
        <f aca="false">SUMIF(Supuestos!$I$23:$I$35,B34,Supuestos!$D$23:$D$35)</f>
        <v>96.08</v>
      </c>
      <c r="E34" s="26" t="n">
        <f aca="false">SUMPRODUCT(Supuestos!$D$23:$D$35*((B34-Supuestos!$I$23:$I$35)&gt;=Supuestos!$C$15)*((B34-Supuestos!$I$23:$I$35)&lt;=Supuestos!$C$16)*(MOD((B34-Supuestos!$I$23:$I$35)-Supuestos!$C$15,6)=0))/Supuestos!$C$17</f>
        <v>0</v>
      </c>
      <c r="F34" s="26" t="n">
        <f aca="false">F33+D34-E34</f>
        <v>1176.82</v>
      </c>
      <c r="G34" s="17" t="n">
        <f aca="false">F34/Supuestos!$C$5</f>
        <v>4.90137442732195</v>
      </c>
      <c r="H34" s="26" t="n">
        <f aca="false">MAX(0,F33-Supuestos!$C$18)</f>
        <v>360.44</v>
      </c>
      <c r="I34" s="18" t="n">
        <f aca="false">IF(F34&gt;Supuestos!$C$18,I33+1,0)</f>
        <v>13</v>
      </c>
      <c r="J34" s="26" t="n">
        <f aca="false">F33*Supuestos!$C$19/12</f>
        <v>3.12513983333333</v>
      </c>
      <c r="K34" s="26" t="n">
        <f aca="false">H34*Supuestos!$C$11/12</f>
        <v>0.600733333333334</v>
      </c>
      <c r="L34" s="26" t="n">
        <f aca="false">IF(I33&gt;Supuestos!$C$12,H34*Supuestos!$C$13/12,0)</f>
        <v>0</v>
      </c>
      <c r="M34" s="26" t="n">
        <f aca="false">D34*Supuestos!$C$14</f>
        <v>0.4804</v>
      </c>
      <c r="N34" s="26" t="n">
        <f aca="false">SUM(J34:M34)</f>
        <v>4.20627316666667</v>
      </c>
      <c r="O34" s="26" t="n">
        <f aca="false">E34+N34</f>
        <v>4.20627316666667</v>
      </c>
    </row>
    <row r="35" customFormat="false" ht="15" hidden="false" customHeight="false" outlineLevel="0" collapsed="false">
      <c r="A35" s="27" t="n">
        <f aca="false">EDATE(A34,1)</f>
        <v>47209</v>
      </c>
      <c r="B35" s="18" t="n">
        <f aca="false">YEAR(A35)*12+MONTH(A35)</f>
        <v>24352</v>
      </c>
      <c r="C35" s="18" t="n">
        <f aca="false">YEAR(A35)</f>
        <v>2029</v>
      </c>
      <c r="D35" s="26" t="n">
        <f aca="false">SUMIF(Supuestos!$I$23:$I$35,B35,Supuestos!$D$23:$D$35)</f>
        <v>0</v>
      </c>
      <c r="E35" s="26" t="n">
        <f aca="false">SUMPRODUCT(Supuestos!$D$23:$D$35*((B35-Supuestos!$I$23:$I$35)&gt;=Supuestos!$C$15)*((B35-Supuestos!$I$23:$I$35)&lt;=Supuestos!$C$16)*(MOD((B35-Supuestos!$I$23:$I$35)-Supuestos!$C$15,6)=0))/Supuestos!$C$17</f>
        <v>0</v>
      </c>
      <c r="F35" s="26" t="n">
        <f aca="false">F34+D35-E35</f>
        <v>1176.82</v>
      </c>
      <c r="G35" s="17" t="n">
        <f aca="false">F35/Supuestos!$C$5</f>
        <v>4.90137442732195</v>
      </c>
      <c r="H35" s="26" t="n">
        <f aca="false">MAX(0,F34-Supuestos!$C$18)</f>
        <v>456.52</v>
      </c>
      <c r="I35" s="18" t="n">
        <f aca="false">IF(F35&gt;Supuestos!$C$18,I34+1,0)</f>
        <v>14</v>
      </c>
      <c r="J35" s="26" t="n">
        <f aca="false">F34*Supuestos!$C$19/12</f>
        <v>3.40297116666667</v>
      </c>
      <c r="K35" s="26" t="n">
        <f aca="false">H35*Supuestos!$C$11/12</f>
        <v>0.760866666666667</v>
      </c>
      <c r="L35" s="26" t="n">
        <f aca="false">IF(I34&gt;Supuestos!$C$12,H35*Supuestos!$C$13/12,0)</f>
        <v>0</v>
      </c>
      <c r="M35" s="26" t="n">
        <f aca="false">D35*Supuestos!$C$14</f>
        <v>0</v>
      </c>
      <c r="N35" s="26" t="n">
        <f aca="false">SUM(J35:M35)</f>
        <v>4.16383783333333</v>
      </c>
      <c r="O35" s="26" t="n">
        <f aca="false">E35+N35</f>
        <v>4.16383783333333</v>
      </c>
    </row>
    <row r="36" customFormat="false" ht="15" hidden="false" customHeight="false" outlineLevel="0" collapsed="false">
      <c r="A36" s="27" t="n">
        <f aca="false">EDATE(A35,1)</f>
        <v>47239</v>
      </c>
      <c r="B36" s="18" t="n">
        <f aca="false">YEAR(A36)*12+MONTH(A36)</f>
        <v>24353</v>
      </c>
      <c r="C36" s="18" t="n">
        <f aca="false">YEAR(A36)</f>
        <v>2029</v>
      </c>
      <c r="D36" s="26" t="n">
        <f aca="false">SUMIF(Supuestos!$I$23:$I$35,B36,Supuestos!$D$23:$D$35)</f>
        <v>0</v>
      </c>
      <c r="E36" s="26" t="n">
        <f aca="false">SUMPRODUCT(Supuestos!$D$23:$D$35*((B36-Supuestos!$I$23:$I$35)&gt;=Supuestos!$C$15)*((B36-Supuestos!$I$23:$I$35)&lt;=Supuestos!$C$16)*(MOD((B36-Supuestos!$I$23:$I$35)-Supuestos!$C$15,6)=0))/Supuestos!$C$17</f>
        <v>0</v>
      </c>
      <c r="F36" s="26" t="n">
        <f aca="false">F35+D36-E36</f>
        <v>1176.82</v>
      </c>
      <c r="G36" s="17" t="n">
        <f aca="false">F36/Supuestos!$C$5</f>
        <v>4.90137442732195</v>
      </c>
      <c r="H36" s="26" t="n">
        <f aca="false">MAX(0,F35-Supuestos!$C$18)</f>
        <v>456.52</v>
      </c>
      <c r="I36" s="18" t="n">
        <f aca="false">IF(F36&gt;Supuestos!$C$18,I35+1,0)</f>
        <v>15</v>
      </c>
      <c r="J36" s="26" t="n">
        <f aca="false">F35*Supuestos!$C$19/12</f>
        <v>3.40297116666667</v>
      </c>
      <c r="K36" s="26" t="n">
        <f aca="false">H36*Supuestos!$C$11/12</f>
        <v>0.760866666666667</v>
      </c>
      <c r="L36" s="26" t="n">
        <f aca="false">IF(I35&gt;Supuestos!$C$12,H36*Supuestos!$C$13/12,0)</f>
        <v>0</v>
      </c>
      <c r="M36" s="26" t="n">
        <f aca="false">D36*Supuestos!$C$14</f>
        <v>0</v>
      </c>
      <c r="N36" s="26" t="n">
        <f aca="false">SUM(J36:M36)</f>
        <v>4.16383783333333</v>
      </c>
      <c r="O36" s="26" t="n">
        <f aca="false">E36+N36</f>
        <v>4.16383783333333</v>
      </c>
    </row>
    <row r="37" customFormat="false" ht="15" hidden="false" customHeight="false" outlineLevel="0" collapsed="false">
      <c r="A37" s="27" t="n">
        <f aca="false">EDATE(A36,1)</f>
        <v>47270</v>
      </c>
      <c r="B37" s="18" t="n">
        <f aca="false">YEAR(A37)*12+MONTH(A37)</f>
        <v>24354</v>
      </c>
      <c r="C37" s="18" t="n">
        <f aca="false">YEAR(A37)</f>
        <v>2029</v>
      </c>
      <c r="D37" s="26" t="n">
        <f aca="false">SUMIF(Supuestos!$I$23:$I$35,B37,Supuestos!$D$23:$D$35)</f>
        <v>96.08</v>
      </c>
      <c r="E37" s="26" t="n">
        <f aca="false">SUMPRODUCT(Supuestos!$D$23:$D$35*((B37-Supuestos!$I$23:$I$35)&gt;=Supuestos!$C$15)*((B37-Supuestos!$I$23:$I$35)&lt;=Supuestos!$C$16)*(MOD((B37-Supuestos!$I$23:$I$35)-Supuestos!$C$15,6)=0))/Supuestos!$C$17</f>
        <v>0</v>
      </c>
      <c r="F37" s="26" t="n">
        <f aca="false">F36+D37-E37</f>
        <v>1272.9</v>
      </c>
      <c r="G37" s="17" t="n">
        <f aca="false">F37/Supuestos!$C$5</f>
        <v>5.3015410245731</v>
      </c>
      <c r="H37" s="26" t="n">
        <f aca="false">MAX(0,F36-Supuestos!$C$18)</f>
        <v>456.52</v>
      </c>
      <c r="I37" s="18" t="n">
        <f aca="false">IF(F37&gt;Supuestos!$C$18,I36+1,0)</f>
        <v>16</v>
      </c>
      <c r="J37" s="26" t="n">
        <f aca="false">F36*Supuestos!$C$19/12</f>
        <v>3.40297116666667</v>
      </c>
      <c r="K37" s="26" t="n">
        <f aca="false">H37*Supuestos!$C$11/12</f>
        <v>0.760866666666667</v>
      </c>
      <c r="L37" s="26" t="n">
        <f aca="false">IF(I36&gt;Supuestos!$C$12,H37*Supuestos!$C$13/12,0)</f>
        <v>0</v>
      </c>
      <c r="M37" s="26" t="n">
        <f aca="false">D37*Supuestos!$C$14</f>
        <v>0.4804</v>
      </c>
      <c r="N37" s="26" t="n">
        <f aca="false">SUM(J37:M37)</f>
        <v>4.64423783333333</v>
      </c>
      <c r="O37" s="26" t="n">
        <f aca="false">E37+N37</f>
        <v>4.64423783333333</v>
      </c>
    </row>
    <row r="38" customFormat="false" ht="15" hidden="false" customHeight="false" outlineLevel="0" collapsed="false">
      <c r="A38" s="27" t="n">
        <f aca="false">EDATE(A37,1)</f>
        <v>47300</v>
      </c>
      <c r="B38" s="18" t="n">
        <f aca="false">YEAR(A38)*12+MONTH(A38)</f>
        <v>24355</v>
      </c>
      <c r="C38" s="18" t="n">
        <f aca="false">YEAR(A38)</f>
        <v>2029</v>
      </c>
      <c r="D38" s="26" t="n">
        <f aca="false">SUMIF(Supuestos!$I$23:$I$35,B38,Supuestos!$D$23:$D$35)</f>
        <v>0</v>
      </c>
      <c r="E38" s="26" t="n">
        <f aca="false">SUMPRODUCT(Supuestos!$D$23:$D$35*((B38-Supuestos!$I$23:$I$35)&gt;=Supuestos!$C$15)*((B38-Supuestos!$I$23:$I$35)&lt;=Supuestos!$C$16)*(MOD((B38-Supuestos!$I$23:$I$35)-Supuestos!$C$15,6)=0))/Supuestos!$C$17</f>
        <v>0</v>
      </c>
      <c r="F38" s="26" t="n">
        <f aca="false">F37+D38-E38</f>
        <v>1272.9</v>
      </c>
      <c r="G38" s="17" t="n">
        <f aca="false">F38/Supuestos!$C$5</f>
        <v>5.3015410245731</v>
      </c>
      <c r="H38" s="26" t="n">
        <f aca="false">MAX(0,F37-Supuestos!$C$18)</f>
        <v>552.6</v>
      </c>
      <c r="I38" s="18" t="n">
        <f aca="false">IF(F38&gt;Supuestos!$C$18,I37+1,0)</f>
        <v>17</v>
      </c>
      <c r="J38" s="26" t="n">
        <f aca="false">F37*Supuestos!$C$19/12</f>
        <v>3.6808025</v>
      </c>
      <c r="K38" s="26" t="n">
        <f aca="false">H38*Supuestos!$C$11/12</f>
        <v>0.921</v>
      </c>
      <c r="L38" s="26" t="n">
        <f aca="false">IF(I37&gt;Supuestos!$C$12,H38*Supuestos!$C$13/12,0)</f>
        <v>0</v>
      </c>
      <c r="M38" s="26" t="n">
        <f aca="false">D38*Supuestos!$C$14</f>
        <v>0</v>
      </c>
      <c r="N38" s="26" t="n">
        <f aca="false">SUM(J38:M38)</f>
        <v>4.6018025</v>
      </c>
      <c r="O38" s="26" t="n">
        <f aca="false">E38+N38</f>
        <v>4.6018025</v>
      </c>
    </row>
    <row r="39" customFormat="false" ht="15" hidden="false" customHeight="false" outlineLevel="0" collapsed="false">
      <c r="A39" s="27" t="n">
        <f aca="false">EDATE(A38,1)</f>
        <v>47331</v>
      </c>
      <c r="B39" s="18" t="n">
        <f aca="false">YEAR(A39)*12+MONTH(A39)</f>
        <v>24356</v>
      </c>
      <c r="C39" s="18" t="n">
        <f aca="false">YEAR(A39)</f>
        <v>2029</v>
      </c>
      <c r="D39" s="26" t="n">
        <f aca="false">SUMIF(Supuestos!$I$23:$I$35,B39,Supuestos!$D$23:$D$35)</f>
        <v>0</v>
      </c>
      <c r="E39" s="26" t="n">
        <f aca="false">SUMPRODUCT(Supuestos!$D$23:$D$35*((B39-Supuestos!$I$23:$I$35)&gt;=Supuestos!$C$15)*((B39-Supuestos!$I$23:$I$35)&lt;=Supuestos!$C$16)*(MOD((B39-Supuestos!$I$23:$I$35)-Supuestos!$C$15,6)=0))/Supuestos!$C$17</f>
        <v>0</v>
      </c>
      <c r="F39" s="26" t="n">
        <f aca="false">F38+D39-E39</f>
        <v>1272.9</v>
      </c>
      <c r="G39" s="17" t="n">
        <f aca="false">F39/Supuestos!$C$5</f>
        <v>5.3015410245731</v>
      </c>
      <c r="H39" s="26" t="n">
        <f aca="false">MAX(0,F38-Supuestos!$C$18)</f>
        <v>552.6</v>
      </c>
      <c r="I39" s="18" t="n">
        <f aca="false">IF(F39&gt;Supuestos!$C$18,I38+1,0)</f>
        <v>18</v>
      </c>
      <c r="J39" s="26" t="n">
        <f aca="false">F38*Supuestos!$C$19/12</f>
        <v>3.6808025</v>
      </c>
      <c r="K39" s="26" t="n">
        <f aca="false">H39*Supuestos!$C$11/12</f>
        <v>0.921</v>
      </c>
      <c r="L39" s="26" t="n">
        <f aca="false">IF(I38&gt;Supuestos!$C$12,H39*Supuestos!$C$13/12,0)</f>
        <v>0</v>
      </c>
      <c r="M39" s="26" t="n">
        <f aca="false">D39*Supuestos!$C$14</f>
        <v>0</v>
      </c>
      <c r="N39" s="26" t="n">
        <f aca="false">SUM(J39:M39)</f>
        <v>4.6018025</v>
      </c>
      <c r="O39" s="26" t="n">
        <f aca="false">E39+N39</f>
        <v>4.6018025</v>
      </c>
    </row>
    <row r="40" customFormat="false" ht="15" hidden="false" customHeight="false" outlineLevel="0" collapsed="false">
      <c r="A40" s="27" t="n">
        <f aca="false">EDATE(A39,1)</f>
        <v>47362</v>
      </c>
      <c r="B40" s="18" t="n">
        <f aca="false">YEAR(A40)*12+MONTH(A40)</f>
        <v>24357</v>
      </c>
      <c r="C40" s="18" t="n">
        <f aca="false">YEAR(A40)</f>
        <v>2029</v>
      </c>
      <c r="D40" s="26" t="n">
        <f aca="false">SUMIF(Supuestos!$I$23:$I$35,B40,Supuestos!$D$23:$D$35)</f>
        <v>96.0999999999999</v>
      </c>
      <c r="E40" s="26" t="n">
        <f aca="false">SUMPRODUCT(Supuestos!$D$23:$D$35*((B40-Supuestos!$I$23:$I$35)&gt;=Supuestos!$C$15)*((B40-Supuestos!$I$23:$I$35)&lt;=Supuestos!$C$16)*(MOD((B40-Supuestos!$I$23:$I$35)-Supuestos!$C$15,6)=0))/Supuestos!$C$17</f>
        <v>0</v>
      </c>
      <c r="F40" s="26" t="n">
        <f aca="false">F39+D40-E40</f>
        <v>1369</v>
      </c>
      <c r="G40" s="17" t="n">
        <f aca="false">F40/Supuestos!$C$5</f>
        <v>5.70179092044981</v>
      </c>
      <c r="H40" s="26" t="n">
        <f aca="false">MAX(0,F39-Supuestos!$C$18)</f>
        <v>552.6</v>
      </c>
      <c r="I40" s="18" t="n">
        <f aca="false">IF(F40&gt;Supuestos!$C$18,I39+1,0)</f>
        <v>19</v>
      </c>
      <c r="J40" s="26" t="n">
        <f aca="false">F39*Supuestos!$C$19/12</f>
        <v>3.6808025</v>
      </c>
      <c r="K40" s="26" t="n">
        <f aca="false">H40*Supuestos!$C$11/12</f>
        <v>0.921</v>
      </c>
      <c r="L40" s="26" t="n">
        <f aca="false">IF(I39&gt;Supuestos!$C$12,H40*Supuestos!$C$13/12,0)</f>
        <v>0</v>
      </c>
      <c r="M40" s="26" t="n">
        <f aca="false">D40*Supuestos!$C$14</f>
        <v>0.4805</v>
      </c>
      <c r="N40" s="26" t="n">
        <f aca="false">SUM(J40:M40)</f>
        <v>5.0823025</v>
      </c>
      <c r="O40" s="26" t="n">
        <f aca="false">E40+N40</f>
        <v>5.0823025</v>
      </c>
    </row>
    <row r="41" customFormat="false" ht="15" hidden="false" customHeight="false" outlineLevel="0" collapsed="false">
      <c r="A41" s="27" t="n">
        <f aca="false">EDATE(A40,1)</f>
        <v>47392</v>
      </c>
      <c r="B41" s="18" t="n">
        <f aca="false">YEAR(A41)*12+MONTH(A41)</f>
        <v>24358</v>
      </c>
      <c r="C41" s="18" t="n">
        <f aca="false">YEAR(A41)</f>
        <v>2029</v>
      </c>
      <c r="D41" s="26" t="n">
        <f aca="false">SUMIF(Supuestos!$I$23:$I$35,B41,Supuestos!$D$23:$D$35)</f>
        <v>0</v>
      </c>
      <c r="E41" s="26" t="n">
        <f aca="false">SUMPRODUCT(Supuestos!$D$23:$D$35*((B41-Supuestos!$I$23:$I$35)&gt;=Supuestos!$C$15)*((B41-Supuestos!$I$23:$I$35)&lt;=Supuestos!$C$16)*(MOD((B41-Supuestos!$I$23:$I$35)-Supuestos!$C$15,6)=0))/Supuestos!$C$17</f>
        <v>0</v>
      </c>
      <c r="F41" s="26" t="n">
        <f aca="false">F40+D41-E41</f>
        <v>1369</v>
      </c>
      <c r="G41" s="17" t="n">
        <f aca="false">F41/Supuestos!$C$5</f>
        <v>5.70179092044981</v>
      </c>
      <c r="H41" s="26" t="n">
        <f aca="false">MAX(0,F40-Supuestos!$C$18)</f>
        <v>648.7</v>
      </c>
      <c r="I41" s="18" t="n">
        <f aca="false">IF(F41&gt;Supuestos!$C$18,I40+1,0)</f>
        <v>20</v>
      </c>
      <c r="J41" s="26" t="n">
        <f aca="false">F40*Supuestos!$C$19/12</f>
        <v>3.95869166666667</v>
      </c>
      <c r="K41" s="26" t="n">
        <f aca="false">H41*Supuestos!$C$11/12</f>
        <v>1.08116666666667</v>
      </c>
      <c r="L41" s="26" t="n">
        <f aca="false">IF(I40&gt;Supuestos!$C$12,H41*Supuestos!$C$13/12,0)</f>
        <v>0</v>
      </c>
      <c r="M41" s="26" t="n">
        <f aca="false">D41*Supuestos!$C$14</f>
        <v>0</v>
      </c>
      <c r="N41" s="26" t="n">
        <f aca="false">SUM(J41:M41)</f>
        <v>5.03985833333333</v>
      </c>
      <c r="O41" s="26" t="n">
        <f aca="false">E41+N41</f>
        <v>5.03985833333333</v>
      </c>
    </row>
    <row r="42" customFormat="false" ht="15" hidden="false" customHeight="false" outlineLevel="0" collapsed="false">
      <c r="A42" s="27" t="n">
        <f aca="false">EDATE(A41,1)</f>
        <v>47423</v>
      </c>
      <c r="B42" s="18" t="n">
        <f aca="false">YEAR(A42)*12+MONTH(A42)</f>
        <v>24359</v>
      </c>
      <c r="C42" s="18" t="n">
        <f aca="false">YEAR(A42)</f>
        <v>2029</v>
      </c>
      <c r="D42" s="26" t="n">
        <f aca="false">SUMIF(Supuestos!$I$23:$I$35,B42,Supuestos!$D$23:$D$35)</f>
        <v>0</v>
      </c>
      <c r="E42" s="26" t="n">
        <f aca="false">SUMPRODUCT(Supuestos!$D$23:$D$35*((B42-Supuestos!$I$23:$I$35)&gt;=Supuestos!$C$15)*((B42-Supuestos!$I$23:$I$35)&lt;=Supuestos!$C$16)*(MOD((B42-Supuestos!$I$23:$I$35)-Supuestos!$C$15,6)=0))/Supuestos!$C$17</f>
        <v>0</v>
      </c>
      <c r="F42" s="26" t="n">
        <f aca="false">F41+D42-E42</f>
        <v>1369</v>
      </c>
      <c r="G42" s="17" t="n">
        <f aca="false">F42/Supuestos!$C$5</f>
        <v>5.70179092044981</v>
      </c>
      <c r="H42" s="26" t="n">
        <f aca="false">MAX(0,F41-Supuestos!$C$18)</f>
        <v>648.7</v>
      </c>
      <c r="I42" s="18" t="n">
        <f aca="false">IF(F42&gt;Supuestos!$C$18,I41+1,0)</f>
        <v>21</v>
      </c>
      <c r="J42" s="26" t="n">
        <f aca="false">F41*Supuestos!$C$19/12</f>
        <v>3.95869166666667</v>
      </c>
      <c r="K42" s="26" t="n">
        <f aca="false">H42*Supuestos!$C$11/12</f>
        <v>1.08116666666667</v>
      </c>
      <c r="L42" s="26" t="n">
        <f aca="false">IF(I41&gt;Supuestos!$C$12,H42*Supuestos!$C$13/12,0)</f>
        <v>0</v>
      </c>
      <c r="M42" s="26" t="n">
        <f aca="false">D42*Supuestos!$C$14</f>
        <v>0</v>
      </c>
      <c r="N42" s="26" t="n">
        <f aca="false">SUM(J42:M42)</f>
        <v>5.03985833333333</v>
      </c>
      <c r="O42" s="26" t="n">
        <f aca="false">E42+N42</f>
        <v>5.03985833333333</v>
      </c>
    </row>
    <row r="43" customFormat="false" ht="15" hidden="false" customHeight="false" outlineLevel="0" collapsed="false">
      <c r="A43" s="27" t="n">
        <f aca="false">EDATE(A42,1)</f>
        <v>47453</v>
      </c>
      <c r="B43" s="18" t="n">
        <f aca="false">YEAR(A43)*12+MONTH(A43)</f>
        <v>24360</v>
      </c>
      <c r="C43" s="18" t="n">
        <f aca="false">YEAR(A43)</f>
        <v>2029</v>
      </c>
      <c r="D43" s="26" t="n">
        <f aca="false">SUMIF(Supuestos!$I$23:$I$35,B43,Supuestos!$D$23:$D$35)</f>
        <v>0</v>
      </c>
      <c r="E43" s="26" t="n">
        <f aca="false">SUMPRODUCT(Supuestos!$D$23:$D$35*((B43-Supuestos!$I$23:$I$35)&gt;=Supuestos!$C$15)*((B43-Supuestos!$I$23:$I$35)&lt;=Supuestos!$C$16)*(MOD((B43-Supuestos!$I$23:$I$35)-Supuestos!$C$15,6)=0))/Supuestos!$C$17</f>
        <v>0</v>
      </c>
      <c r="F43" s="26" t="n">
        <f aca="false">F42+D43-E43</f>
        <v>1369</v>
      </c>
      <c r="G43" s="17" t="n">
        <f aca="false">F43/Supuestos!$C$5</f>
        <v>5.70179092044981</v>
      </c>
      <c r="H43" s="26" t="n">
        <f aca="false">MAX(0,F42-Supuestos!$C$18)</f>
        <v>648.7</v>
      </c>
      <c r="I43" s="18" t="n">
        <f aca="false">IF(F43&gt;Supuestos!$C$18,I42+1,0)</f>
        <v>22</v>
      </c>
      <c r="J43" s="26" t="n">
        <f aca="false">F42*Supuestos!$C$19/12</f>
        <v>3.95869166666667</v>
      </c>
      <c r="K43" s="26" t="n">
        <f aca="false">H43*Supuestos!$C$11/12</f>
        <v>1.08116666666667</v>
      </c>
      <c r="L43" s="26" t="n">
        <f aca="false">IF(I42&gt;Supuestos!$C$12,H43*Supuestos!$C$13/12,0)</f>
        <v>0</v>
      </c>
      <c r="M43" s="26" t="n">
        <f aca="false">D43*Supuestos!$C$14</f>
        <v>0</v>
      </c>
      <c r="N43" s="26" t="n">
        <f aca="false">SUM(J43:M43)</f>
        <v>5.03985833333333</v>
      </c>
      <c r="O43" s="26" t="n">
        <f aca="false">E43+N43</f>
        <v>5.03985833333333</v>
      </c>
    </row>
    <row r="44" customFormat="false" ht="15" hidden="false" customHeight="false" outlineLevel="0" collapsed="false">
      <c r="A44" s="27" t="n">
        <f aca="false">EDATE(A43,1)</f>
        <v>47484</v>
      </c>
      <c r="B44" s="18" t="n">
        <f aca="false">YEAR(A44)*12+MONTH(A44)</f>
        <v>24361</v>
      </c>
      <c r="C44" s="18" t="n">
        <f aca="false">YEAR(A44)</f>
        <v>2030</v>
      </c>
      <c r="D44" s="26" t="n">
        <f aca="false">SUMIF(Supuestos!$I$23:$I$35,B44,Supuestos!$D$23:$D$35)</f>
        <v>0</v>
      </c>
      <c r="E44" s="26" t="n">
        <f aca="false">SUMPRODUCT(Supuestos!$D$23:$D$35*((B44-Supuestos!$I$23:$I$35)&gt;=Supuestos!$C$15)*((B44-Supuestos!$I$23:$I$35)&lt;=Supuestos!$C$16)*(MOD((B44-Supuestos!$I$23:$I$35)-Supuestos!$C$15,6)=0))/Supuestos!$C$17</f>
        <v>0</v>
      </c>
      <c r="F44" s="26" t="n">
        <f aca="false">F43+D44-E44</f>
        <v>1369</v>
      </c>
      <c r="G44" s="17" t="n">
        <f aca="false">F44/Supuestos!$C$5</f>
        <v>5.70179092044981</v>
      </c>
      <c r="H44" s="26" t="n">
        <f aca="false">MAX(0,F43-Supuestos!$C$18)</f>
        <v>648.7</v>
      </c>
      <c r="I44" s="18" t="n">
        <f aca="false">IF(F44&gt;Supuestos!$C$18,I43+1,0)</f>
        <v>23</v>
      </c>
      <c r="J44" s="26" t="n">
        <f aca="false">F43*Supuestos!$C$19/12</f>
        <v>3.95869166666667</v>
      </c>
      <c r="K44" s="26" t="n">
        <f aca="false">H44*Supuestos!$C$11/12</f>
        <v>1.08116666666667</v>
      </c>
      <c r="L44" s="26" t="n">
        <f aca="false">IF(I43&gt;Supuestos!$C$12,H44*Supuestos!$C$13/12,0)</f>
        <v>0</v>
      </c>
      <c r="M44" s="26" t="n">
        <f aca="false">D44*Supuestos!$C$14</f>
        <v>0</v>
      </c>
      <c r="N44" s="26" t="n">
        <f aca="false">SUM(J44:M44)</f>
        <v>5.03985833333333</v>
      </c>
      <c r="O44" s="26" t="n">
        <f aca="false">E44+N44</f>
        <v>5.03985833333333</v>
      </c>
    </row>
    <row r="45" customFormat="false" ht="15" hidden="false" customHeight="false" outlineLevel="0" collapsed="false">
      <c r="A45" s="27" t="n">
        <f aca="false">EDATE(A44,1)</f>
        <v>47515</v>
      </c>
      <c r="B45" s="18" t="n">
        <f aca="false">YEAR(A45)*12+MONTH(A45)</f>
        <v>24362</v>
      </c>
      <c r="C45" s="18" t="n">
        <f aca="false">YEAR(A45)</f>
        <v>2030</v>
      </c>
      <c r="D45" s="26" t="n">
        <f aca="false">SUMIF(Supuestos!$I$23:$I$35,B45,Supuestos!$D$23:$D$35)</f>
        <v>0</v>
      </c>
      <c r="E45" s="26" t="n">
        <f aca="false">SUMPRODUCT(Supuestos!$D$23:$D$35*((B45-Supuestos!$I$23:$I$35)&gt;=Supuestos!$C$15)*((B45-Supuestos!$I$23:$I$35)&lt;=Supuestos!$C$16)*(MOD((B45-Supuestos!$I$23:$I$35)-Supuestos!$C$15,6)=0))/Supuestos!$C$17</f>
        <v>0</v>
      </c>
      <c r="F45" s="26" t="n">
        <f aca="false">F44+D45-E45</f>
        <v>1369</v>
      </c>
      <c r="G45" s="17" t="n">
        <f aca="false">F45/Supuestos!$C$5</f>
        <v>5.70179092044981</v>
      </c>
      <c r="H45" s="26" t="n">
        <f aca="false">MAX(0,F44-Supuestos!$C$18)</f>
        <v>648.7</v>
      </c>
      <c r="I45" s="18" t="n">
        <f aca="false">IF(F45&gt;Supuestos!$C$18,I44+1,0)</f>
        <v>24</v>
      </c>
      <c r="J45" s="26" t="n">
        <f aca="false">F44*Supuestos!$C$19/12</f>
        <v>3.95869166666667</v>
      </c>
      <c r="K45" s="26" t="n">
        <f aca="false">H45*Supuestos!$C$11/12</f>
        <v>1.08116666666667</v>
      </c>
      <c r="L45" s="26" t="n">
        <f aca="false">IF(I44&gt;Supuestos!$C$12,H45*Supuestos!$C$13/12,0)</f>
        <v>0</v>
      </c>
      <c r="M45" s="26" t="n">
        <f aca="false">D45*Supuestos!$C$14</f>
        <v>0</v>
      </c>
      <c r="N45" s="26" t="n">
        <f aca="false">SUM(J45:M45)</f>
        <v>5.03985833333333</v>
      </c>
      <c r="O45" s="26" t="n">
        <f aca="false">E45+N45</f>
        <v>5.03985833333333</v>
      </c>
    </row>
    <row r="46" customFormat="false" ht="15" hidden="false" customHeight="false" outlineLevel="0" collapsed="false">
      <c r="A46" s="27" t="n">
        <f aca="false">EDATE(A45,1)</f>
        <v>47543</v>
      </c>
      <c r="B46" s="18" t="n">
        <f aca="false">YEAR(A46)*12+MONTH(A46)</f>
        <v>24363</v>
      </c>
      <c r="C46" s="18" t="n">
        <f aca="false">YEAR(A46)</f>
        <v>2030</v>
      </c>
      <c r="D46" s="26" t="n">
        <f aca="false">SUMIF(Supuestos!$I$23:$I$35,B46,Supuestos!$D$23:$D$35)</f>
        <v>0</v>
      </c>
      <c r="E46" s="26" t="n">
        <f aca="false">SUMPRODUCT(Supuestos!$D$23:$D$35*((B46-Supuestos!$I$23:$I$35)&gt;=Supuestos!$C$15)*((B46-Supuestos!$I$23:$I$35)&lt;=Supuestos!$C$16)*(MOD((B46-Supuestos!$I$23:$I$35)-Supuestos!$C$15,6)=0))/Supuestos!$C$17</f>
        <v>0</v>
      </c>
      <c r="F46" s="26" t="n">
        <f aca="false">F45+D46-E46</f>
        <v>1369</v>
      </c>
      <c r="G46" s="17" t="n">
        <f aca="false">F46/Supuestos!$C$5</f>
        <v>5.70179092044981</v>
      </c>
      <c r="H46" s="26" t="n">
        <f aca="false">MAX(0,F45-Supuestos!$C$18)</f>
        <v>648.7</v>
      </c>
      <c r="I46" s="18" t="n">
        <f aca="false">IF(F46&gt;Supuestos!$C$18,I45+1,0)</f>
        <v>25</v>
      </c>
      <c r="J46" s="26" t="n">
        <f aca="false">F45*Supuestos!$C$19/12</f>
        <v>3.95869166666667</v>
      </c>
      <c r="K46" s="26" t="n">
        <f aca="false">H46*Supuestos!$C$11/12</f>
        <v>1.08116666666667</v>
      </c>
      <c r="L46" s="26" t="n">
        <f aca="false">IF(I45&gt;Supuestos!$C$12,H46*Supuestos!$C$13/12,0)</f>
        <v>0</v>
      </c>
      <c r="M46" s="26" t="n">
        <f aca="false">D46*Supuestos!$C$14</f>
        <v>0</v>
      </c>
      <c r="N46" s="26" t="n">
        <f aca="false">SUM(J46:M46)</f>
        <v>5.03985833333333</v>
      </c>
      <c r="O46" s="26" t="n">
        <f aca="false">E46+N46</f>
        <v>5.03985833333333</v>
      </c>
    </row>
    <row r="47" customFormat="false" ht="15" hidden="false" customHeight="false" outlineLevel="0" collapsed="false">
      <c r="A47" s="27" t="n">
        <f aca="false">EDATE(A46,1)</f>
        <v>47574</v>
      </c>
      <c r="B47" s="18" t="n">
        <f aca="false">YEAR(A47)*12+MONTH(A47)</f>
        <v>24364</v>
      </c>
      <c r="C47" s="18" t="n">
        <f aca="false">YEAR(A47)</f>
        <v>2030</v>
      </c>
      <c r="D47" s="26" t="n">
        <f aca="false">SUMIF(Supuestos!$I$23:$I$35,B47,Supuestos!$D$23:$D$35)</f>
        <v>0</v>
      </c>
      <c r="E47" s="26" t="n">
        <f aca="false">SUMPRODUCT(Supuestos!$D$23:$D$35*((B47-Supuestos!$I$23:$I$35)&gt;=Supuestos!$C$15)*((B47-Supuestos!$I$23:$I$35)&lt;=Supuestos!$C$16)*(MOD((B47-Supuestos!$I$23:$I$35)-Supuestos!$C$15,6)=0))/Supuestos!$C$17</f>
        <v>0</v>
      </c>
      <c r="F47" s="26" t="n">
        <f aca="false">F46+D47-E47</f>
        <v>1369</v>
      </c>
      <c r="G47" s="17" t="n">
        <f aca="false">F47/Supuestos!$C$5</f>
        <v>5.70179092044981</v>
      </c>
      <c r="H47" s="26" t="n">
        <f aca="false">MAX(0,F46-Supuestos!$C$18)</f>
        <v>648.7</v>
      </c>
      <c r="I47" s="18" t="n">
        <f aca="false">IF(F47&gt;Supuestos!$C$18,I46+1,0)</f>
        <v>26</v>
      </c>
      <c r="J47" s="26" t="n">
        <f aca="false">F46*Supuestos!$C$19/12</f>
        <v>3.95869166666667</v>
      </c>
      <c r="K47" s="26" t="n">
        <f aca="false">H47*Supuestos!$C$11/12</f>
        <v>1.08116666666667</v>
      </c>
      <c r="L47" s="26" t="n">
        <f aca="false">IF(I46&gt;Supuestos!$C$12,H47*Supuestos!$C$13/12,0)</f>
        <v>0</v>
      </c>
      <c r="M47" s="26" t="n">
        <f aca="false">D47*Supuestos!$C$14</f>
        <v>0</v>
      </c>
      <c r="N47" s="26" t="n">
        <f aca="false">SUM(J47:M47)</f>
        <v>5.03985833333333</v>
      </c>
      <c r="O47" s="26" t="n">
        <f aca="false">E47+N47</f>
        <v>5.03985833333333</v>
      </c>
    </row>
    <row r="48" customFormat="false" ht="15" hidden="false" customHeight="false" outlineLevel="0" collapsed="false">
      <c r="A48" s="27" t="n">
        <f aca="false">EDATE(A47,1)</f>
        <v>47604</v>
      </c>
      <c r="B48" s="18" t="n">
        <f aca="false">YEAR(A48)*12+MONTH(A48)</f>
        <v>24365</v>
      </c>
      <c r="C48" s="18" t="n">
        <f aca="false">YEAR(A48)</f>
        <v>2030</v>
      </c>
      <c r="D48" s="26" t="n">
        <f aca="false">SUMIF(Supuestos!$I$23:$I$35,B48,Supuestos!$D$23:$D$35)</f>
        <v>0</v>
      </c>
      <c r="E48" s="26" t="n">
        <f aca="false">SUMPRODUCT(Supuestos!$D$23:$D$35*((B48-Supuestos!$I$23:$I$35)&gt;=Supuestos!$C$15)*((B48-Supuestos!$I$23:$I$35)&lt;=Supuestos!$C$16)*(MOD((B48-Supuestos!$I$23:$I$35)-Supuestos!$C$15,6)=0))/Supuestos!$C$17</f>
        <v>0</v>
      </c>
      <c r="F48" s="26" t="n">
        <f aca="false">F47+D48-E48</f>
        <v>1369</v>
      </c>
      <c r="G48" s="17" t="n">
        <f aca="false">F48/Supuestos!$C$5</f>
        <v>5.70179092044981</v>
      </c>
      <c r="H48" s="26" t="n">
        <f aca="false">MAX(0,F47-Supuestos!$C$18)</f>
        <v>648.7</v>
      </c>
      <c r="I48" s="18" t="n">
        <f aca="false">IF(F48&gt;Supuestos!$C$18,I47+1,0)</f>
        <v>27</v>
      </c>
      <c r="J48" s="26" t="n">
        <f aca="false">F47*Supuestos!$C$19/12</f>
        <v>3.95869166666667</v>
      </c>
      <c r="K48" s="26" t="n">
        <f aca="false">H48*Supuestos!$C$11/12</f>
        <v>1.08116666666667</v>
      </c>
      <c r="L48" s="26" t="n">
        <f aca="false">IF(I47&gt;Supuestos!$C$12,H48*Supuestos!$C$13/12,0)</f>
        <v>0</v>
      </c>
      <c r="M48" s="26" t="n">
        <f aca="false">D48*Supuestos!$C$14</f>
        <v>0</v>
      </c>
      <c r="N48" s="26" t="n">
        <f aca="false">SUM(J48:M48)</f>
        <v>5.03985833333333</v>
      </c>
      <c r="O48" s="26" t="n">
        <f aca="false">E48+N48</f>
        <v>5.03985833333333</v>
      </c>
    </row>
    <row r="49" customFormat="false" ht="15" hidden="false" customHeight="false" outlineLevel="0" collapsed="false">
      <c r="A49" s="27" t="n">
        <f aca="false">EDATE(A48,1)</f>
        <v>47635</v>
      </c>
      <c r="B49" s="18" t="n">
        <f aca="false">YEAR(A49)*12+MONTH(A49)</f>
        <v>24366</v>
      </c>
      <c r="C49" s="18" t="n">
        <f aca="false">YEAR(A49)</f>
        <v>2030</v>
      </c>
      <c r="D49" s="26" t="n">
        <f aca="false">SUMIF(Supuestos!$I$23:$I$35,B49,Supuestos!$D$23:$D$35)</f>
        <v>0</v>
      </c>
      <c r="E49" s="26" t="n">
        <f aca="false">SUMPRODUCT(Supuestos!$D$23:$D$35*((B49-Supuestos!$I$23:$I$35)&gt;=Supuestos!$C$15)*((B49-Supuestos!$I$23:$I$35)&lt;=Supuestos!$C$16)*(MOD((B49-Supuestos!$I$23:$I$35)-Supuestos!$C$15,6)=0))/Supuestos!$C$17</f>
        <v>0</v>
      </c>
      <c r="F49" s="26" t="n">
        <f aca="false">F48+D49-E49</f>
        <v>1369</v>
      </c>
      <c r="G49" s="17" t="n">
        <f aca="false">F49/Supuestos!$C$5</f>
        <v>5.70179092044981</v>
      </c>
      <c r="H49" s="26" t="n">
        <f aca="false">MAX(0,F48-Supuestos!$C$18)</f>
        <v>648.7</v>
      </c>
      <c r="I49" s="18" t="n">
        <f aca="false">IF(F49&gt;Supuestos!$C$18,I48+1,0)</f>
        <v>28</v>
      </c>
      <c r="J49" s="26" t="n">
        <f aca="false">F48*Supuestos!$C$19/12</f>
        <v>3.95869166666667</v>
      </c>
      <c r="K49" s="26" t="n">
        <f aca="false">H49*Supuestos!$C$11/12</f>
        <v>1.08116666666667</v>
      </c>
      <c r="L49" s="26" t="n">
        <f aca="false">IF(I48&gt;Supuestos!$C$12,H49*Supuestos!$C$13/12,0)</f>
        <v>0</v>
      </c>
      <c r="M49" s="26" t="n">
        <f aca="false">D49*Supuestos!$C$14</f>
        <v>0</v>
      </c>
      <c r="N49" s="26" t="n">
        <f aca="false">SUM(J49:M49)</f>
        <v>5.03985833333333</v>
      </c>
      <c r="O49" s="26" t="n">
        <f aca="false">E49+N49</f>
        <v>5.03985833333333</v>
      </c>
    </row>
    <row r="50" customFormat="false" ht="15" hidden="false" customHeight="false" outlineLevel="0" collapsed="false">
      <c r="A50" s="27" t="n">
        <f aca="false">EDATE(A49,1)</f>
        <v>47665</v>
      </c>
      <c r="B50" s="18" t="n">
        <f aca="false">YEAR(A50)*12+MONTH(A50)</f>
        <v>24367</v>
      </c>
      <c r="C50" s="18" t="n">
        <f aca="false">YEAR(A50)</f>
        <v>2030</v>
      </c>
      <c r="D50" s="26" t="n">
        <f aca="false">SUMIF(Supuestos!$I$23:$I$35,B50,Supuestos!$D$23:$D$35)</f>
        <v>0</v>
      </c>
      <c r="E50" s="26" t="n">
        <f aca="false">SUMPRODUCT(Supuestos!$D$23:$D$35*((B50-Supuestos!$I$23:$I$35)&gt;=Supuestos!$C$15)*((B50-Supuestos!$I$23:$I$35)&lt;=Supuestos!$C$16)*(MOD((B50-Supuestos!$I$23:$I$35)-Supuestos!$C$15,6)=0))/Supuestos!$C$17</f>
        <v>0</v>
      </c>
      <c r="F50" s="26" t="n">
        <f aca="false">F49+D50-E50</f>
        <v>1369</v>
      </c>
      <c r="G50" s="17" t="n">
        <f aca="false">F50/Supuestos!$C$5</f>
        <v>5.70179092044981</v>
      </c>
      <c r="H50" s="26" t="n">
        <f aca="false">MAX(0,F49-Supuestos!$C$18)</f>
        <v>648.7</v>
      </c>
      <c r="I50" s="18" t="n">
        <f aca="false">IF(F50&gt;Supuestos!$C$18,I49+1,0)</f>
        <v>29</v>
      </c>
      <c r="J50" s="26" t="n">
        <f aca="false">F49*Supuestos!$C$19/12</f>
        <v>3.95869166666667</v>
      </c>
      <c r="K50" s="26" t="n">
        <f aca="false">H50*Supuestos!$C$11/12</f>
        <v>1.08116666666667</v>
      </c>
      <c r="L50" s="26" t="n">
        <f aca="false">IF(I49&gt;Supuestos!$C$12,H50*Supuestos!$C$13/12,0)</f>
        <v>0</v>
      </c>
      <c r="M50" s="26" t="n">
        <f aca="false">D50*Supuestos!$C$14</f>
        <v>0</v>
      </c>
      <c r="N50" s="26" t="n">
        <f aca="false">SUM(J50:M50)</f>
        <v>5.03985833333333</v>
      </c>
      <c r="O50" s="26" t="n">
        <f aca="false">E50+N50</f>
        <v>5.03985833333333</v>
      </c>
    </row>
    <row r="51" customFormat="false" ht="15" hidden="false" customHeight="false" outlineLevel="0" collapsed="false">
      <c r="A51" s="27" t="n">
        <f aca="false">EDATE(A50,1)</f>
        <v>47696</v>
      </c>
      <c r="B51" s="18" t="n">
        <f aca="false">YEAR(A51)*12+MONTH(A51)</f>
        <v>24368</v>
      </c>
      <c r="C51" s="18" t="n">
        <f aca="false">YEAR(A51)</f>
        <v>2030</v>
      </c>
      <c r="D51" s="26" t="n">
        <f aca="false">SUMIF(Supuestos!$I$23:$I$35,B51,Supuestos!$D$23:$D$35)</f>
        <v>0</v>
      </c>
      <c r="E51" s="26" t="n">
        <f aca="false">SUMPRODUCT(Supuestos!$D$23:$D$35*((B51-Supuestos!$I$23:$I$35)&gt;=Supuestos!$C$15)*((B51-Supuestos!$I$23:$I$35)&lt;=Supuestos!$C$16)*(MOD((B51-Supuestos!$I$23:$I$35)-Supuestos!$C$15,6)=0))/Supuestos!$C$17</f>
        <v>0</v>
      </c>
      <c r="F51" s="26" t="n">
        <f aca="false">F50+D51-E51</f>
        <v>1369</v>
      </c>
      <c r="G51" s="17" t="n">
        <f aca="false">F51/Supuestos!$C$5</f>
        <v>5.70179092044981</v>
      </c>
      <c r="H51" s="26" t="n">
        <f aca="false">MAX(0,F50-Supuestos!$C$18)</f>
        <v>648.7</v>
      </c>
      <c r="I51" s="18" t="n">
        <f aca="false">IF(F51&gt;Supuestos!$C$18,I50+1,0)</f>
        <v>30</v>
      </c>
      <c r="J51" s="26" t="n">
        <f aca="false">F50*Supuestos!$C$19/12</f>
        <v>3.95869166666667</v>
      </c>
      <c r="K51" s="26" t="n">
        <f aca="false">H51*Supuestos!$C$11/12</f>
        <v>1.08116666666667</v>
      </c>
      <c r="L51" s="26" t="n">
        <f aca="false">IF(I50&gt;Supuestos!$C$12,H51*Supuestos!$C$13/12,0)</f>
        <v>0</v>
      </c>
      <c r="M51" s="26" t="n">
        <f aca="false">D51*Supuestos!$C$14</f>
        <v>0</v>
      </c>
      <c r="N51" s="26" t="n">
        <f aca="false">SUM(J51:M51)</f>
        <v>5.03985833333333</v>
      </c>
      <c r="O51" s="26" t="n">
        <f aca="false">E51+N51</f>
        <v>5.03985833333333</v>
      </c>
    </row>
    <row r="52" customFormat="false" ht="15" hidden="false" customHeight="false" outlineLevel="0" collapsed="false">
      <c r="A52" s="27" t="n">
        <f aca="false">EDATE(A51,1)</f>
        <v>47727</v>
      </c>
      <c r="B52" s="18" t="n">
        <f aca="false">YEAR(A52)*12+MONTH(A52)</f>
        <v>24369</v>
      </c>
      <c r="C52" s="18" t="n">
        <f aca="false">YEAR(A52)</f>
        <v>2030</v>
      </c>
      <c r="D52" s="26" t="n">
        <f aca="false">SUMIF(Supuestos!$I$23:$I$35,B52,Supuestos!$D$23:$D$35)</f>
        <v>0</v>
      </c>
      <c r="E52" s="26" t="n">
        <f aca="false">SUMPRODUCT(Supuestos!$D$23:$D$35*((B52-Supuestos!$I$23:$I$35)&gt;=Supuestos!$C$15)*((B52-Supuestos!$I$23:$I$35)&lt;=Supuestos!$C$16)*(MOD((B52-Supuestos!$I$23:$I$35)-Supuestos!$C$15,6)=0))/Supuestos!$C$17</f>
        <v>0</v>
      </c>
      <c r="F52" s="26" t="n">
        <f aca="false">F51+D52-E52</f>
        <v>1369</v>
      </c>
      <c r="G52" s="17" t="n">
        <f aca="false">F52/Supuestos!$C$5</f>
        <v>5.70179092044981</v>
      </c>
      <c r="H52" s="26" t="n">
        <f aca="false">MAX(0,F51-Supuestos!$C$18)</f>
        <v>648.7</v>
      </c>
      <c r="I52" s="18" t="n">
        <f aca="false">IF(F52&gt;Supuestos!$C$18,I51+1,0)</f>
        <v>31</v>
      </c>
      <c r="J52" s="26" t="n">
        <f aca="false">F51*Supuestos!$C$19/12</f>
        <v>3.95869166666667</v>
      </c>
      <c r="K52" s="26" t="n">
        <f aca="false">H52*Supuestos!$C$11/12</f>
        <v>1.08116666666667</v>
      </c>
      <c r="L52" s="26" t="n">
        <f aca="false">IF(I51&gt;Supuestos!$C$12,H52*Supuestos!$C$13/12,0)</f>
        <v>0</v>
      </c>
      <c r="M52" s="26" t="n">
        <f aca="false">D52*Supuestos!$C$14</f>
        <v>0</v>
      </c>
      <c r="N52" s="26" t="n">
        <f aca="false">SUM(J52:M52)</f>
        <v>5.03985833333333</v>
      </c>
      <c r="O52" s="26" t="n">
        <f aca="false">E52+N52</f>
        <v>5.03985833333333</v>
      </c>
    </row>
    <row r="53" customFormat="false" ht="15" hidden="false" customHeight="false" outlineLevel="0" collapsed="false">
      <c r="A53" s="27" t="n">
        <f aca="false">EDATE(A52,1)</f>
        <v>47757</v>
      </c>
      <c r="B53" s="18" t="n">
        <f aca="false">YEAR(A53)*12+MONTH(A53)</f>
        <v>24370</v>
      </c>
      <c r="C53" s="18" t="n">
        <f aca="false">YEAR(A53)</f>
        <v>2030</v>
      </c>
      <c r="D53" s="26" t="n">
        <f aca="false">SUMIF(Supuestos!$I$23:$I$35,B53,Supuestos!$D$23:$D$35)</f>
        <v>0</v>
      </c>
      <c r="E53" s="26" t="n">
        <f aca="false">SUMPRODUCT(Supuestos!$D$23:$D$35*((B53-Supuestos!$I$23:$I$35)&gt;=Supuestos!$C$15)*((B53-Supuestos!$I$23:$I$35)&lt;=Supuestos!$C$16)*(MOD((B53-Supuestos!$I$23:$I$35)-Supuestos!$C$15,6)=0))/Supuestos!$C$17</f>
        <v>0</v>
      </c>
      <c r="F53" s="26" t="n">
        <f aca="false">F52+D53-E53</f>
        <v>1369</v>
      </c>
      <c r="G53" s="17" t="n">
        <f aca="false">F53/Supuestos!$C$5</f>
        <v>5.70179092044981</v>
      </c>
      <c r="H53" s="26" t="n">
        <f aca="false">MAX(0,F52-Supuestos!$C$18)</f>
        <v>648.7</v>
      </c>
      <c r="I53" s="18" t="n">
        <f aca="false">IF(F53&gt;Supuestos!$C$18,I52+1,0)</f>
        <v>32</v>
      </c>
      <c r="J53" s="26" t="n">
        <f aca="false">F52*Supuestos!$C$19/12</f>
        <v>3.95869166666667</v>
      </c>
      <c r="K53" s="26" t="n">
        <f aca="false">H53*Supuestos!$C$11/12</f>
        <v>1.08116666666667</v>
      </c>
      <c r="L53" s="26" t="n">
        <f aca="false">IF(I52&gt;Supuestos!$C$12,H53*Supuestos!$C$13/12,0)</f>
        <v>0</v>
      </c>
      <c r="M53" s="26" t="n">
        <f aca="false">D53*Supuestos!$C$14</f>
        <v>0</v>
      </c>
      <c r="N53" s="26" t="n">
        <f aca="false">SUM(J53:M53)</f>
        <v>5.03985833333333</v>
      </c>
      <c r="O53" s="26" t="n">
        <f aca="false">E53+N53</f>
        <v>5.03985833333333</v>
      </c>
    </row>
    <row r="54" customFormat="false" ht="15" hidden="false" customHeight="false" outlineLevel="0" collapsed="false">
      <c r="A54" s="27" t="n">
        <f aca="false">EDATE(A53,1)</f>
        <v>47788</v>
      </c>
      <c r="B54" s="18" t="n">
        <f aca="false">YEAR(A54)*12+MONTH(A54)</f>
        <v>24371</v>
      </c>
      <c r="C54" s="18" t="n">
        <f aca="false">YEAR(A54)</f>
        <v>2030</v>
      </c>
      <c r="D54" s="26" t="n">
        <f aca="false">SUMIF(Supuestos!$I$23:$I$35,B54,Supuestos!$D$23:$D$35)</f>
        <v>0</v>
      </c>
      <c r="E54" s="26" t="n">
        <f aca="false">SUMPRODUCT(Supuestos!$D$23:$D$35*((B54-Supuestos!$I$23:$I$35)&gt;=Supuestos!$C$15)*((B54-Supuestos!$I$23:$I$35)&lt;=Supuestos!$C$16)*(MOD((B54-Supuestos!$I$23:$I$35)-Supuestos!$C$15,6)=0))/Supuestos!$C$17</f>
        <v>0</v>
      </c>
      <c r="F54" s="26" t="n">
        <f aca="false">F53+D54-E54</f>
        <v>1369</v>
      </c>
      <c r="G54" s="17" t="n">
        <f aca="false">F54/Supuestos!$C$5</f>
        <v>5.70179092044981</v>
      </c>
      <c r="H54" s="26" t="n">
        <f aca="false">MAX(0,F53-Supuestos!$C$18)</f>
        <v>648.7</v>
      </c>
      <c r="I54" s="18" t="n">
        <f aca="false">IF(F54&gt;Supuestos!$C$18,I53+1,0)</f>
        <v>33</v>
      </c>
      <c r="J54" s="26" t="n">
        <f aca="false">F53*Supuestos!$C$19/12</f>
        <v>3.95869166666667</v>
      </c>
      <c r="K54" s="26" t="n">
        <f aca="false">H54*Supuestos!$C$11/12</f>
        <v>1.08116666666667</v>
      </c>
      <c r="L54" s="26" t="n">
        <f aca="false">IF(I53&gt;Supuestos!$C$12,H54*Supuestos!$C$13/12,0)</f>
        <v>0</v>
      </c>
      <c r="M54" s="26" t="n">
        <f aca="false">D54*Supuestos!$C$14</f>
        <v>0</v>
      </c>
      <c r="N54" s="26" t="n">
        <f aca="false">SUM(J54:M54)</f>
        <v>5.03985833333333</v>
      </c>
      <c r="O54" s="26" t="n">
        <f aca="false">E54+N54</f>
        <v>5.03985833333333</v>
      </c>
    </row>
    <row r="55" customFormat="false" ht="15" hidden="false" customHeight="false" outlineLevel="0" collapsed="false">
      <c r="A55" s="27" t="n">
        <f aca="false">EDATE(A54,1)</f>
        <v>47818</v>
      </c>
      <c r="B55" s="18" t="n">
        <f aca="false">YEAR(A55)*12+MONTH(A55)</f>
        <v>24372</v>
      </c>
      <c r="C55" s="18" t="n">
        <f aca="false">YEAR(A55)</f>
        <v>2030</v>
      </c>
      <c r="D55" s="26" t="n">
        <f aca="false">SUMIF(Supuestos!$I$23:$I$35,B55,Supuestos!$D$23:$D$35)</f>
        <v>0</v>
      </c>
      <c r="E55" s="26" t="n">
        <f aca="false">SUMPRODUCT(Supuestos!$D$23:$D$35*((B55-Supuestos!$I$23:$I$35)&gt;=Supuestos!$C$15)*((B55-Supuestos!$I$23:$I$35)&lt;=Supuestos!$C$16)*(MOD((B55-Supuestos!$I$23:$I$35)-Supuestos!$C$15,6)=0))/Supuestos!$C$17</f>
        <v>0</v>
      </c>
      <c r="F55" s="26" t="n">
        <f aca="false">F54+D55-E55</f>
        <v>1369</v>
      </c>
      <c r="G55" s="17" t="n">
        <f aca="false">F55/Supuestos!$C$5</f>
        <v>5.70179092044981</v>
      </c>
      <c r="H55" s="26" t="n">
        <f aca="false">MAX(0,F54-Supuestos!$C$18)</f>
        <v>648.7</v>
      </c>
      <c r="I55" s="18" t="n">
        <f aca="false">IF(F55&gt;Supuestos!$C$18,I54+1,0)</f>
        <v>34</v>
      </c>
      <c r="J55" s="26" t="n">
        <f aca="false">F54*Supuestos!$C$19/12</f>
        <v>3.95869166666667</v>
      </c>
      <c r="K55" s="26" t="n">
        <f aca="false">H55*Supuestos!$C$11/12</f>
        <v>1.08116666666667</v>
      </c>
      <c r="L55" s="26" t="n">
        <f aca="false">IF(I54&gt;Supuestos!$C$12,H55*Supuestos!$C$13/12,0)</f>
        <v>0</v>
      </c>
      <c r="M55" s="26" t="n">
        <f aca="false">D55*Supuestos!$C$14</f>
        <v>0</v>
      </c>
      <c r="N55" s="26" t="n">
        <f aca="false">SUM(J55:M55)</f>
        <v>5.03985833333333</v>
      </c>
      <c r="O55" s="26" t="n">
        <f aca="false">E55+N55</f>
        <v>5.03985833333333</v>
      </c>
    </row>
    <row r="56" customFormat="false" ht="15" hidden="false" customHeight="false" outlineLevel="0" collapsed="false">
      <c r="A56" s="27" t="n">
        <f aca="false">EDATE(A55,1)</f>
        <v>47849</v>
      </c>
      <c r="B56" s="18" t="n">
        <f aca="false">YEAR(A56)*12+MONTH(A56)</f>
        <v>24373</v>
      </c>
      <c r="C56" s="18" t="n">
        <f aca="false">YEAR(A56)</f>
        <v>2031</v>
      </c>
      <c r="D56" s="26" t="n">
        <f aca="false">SUMIF(Supuestos!$I$23:$I$35,B56,Supuestos!$D$23:$D$35)</f>
        <v>0</v>
      </c>
      <c r="E56" s="26" t="n">
        <f aca="false">SUMPRODUCT(Supuestos!$D$23:$D$35*((B56-Supuestos!$I$23:$I$35)&gt;=Supuestos!$C$15)*((B56-Supuestos!$I$23:$I$35)&lt;=Supuestos!$C$16)*(MOD((B56-Supuestos!$I$23:$I$35)-Supuestos!$C$15,6)=0))/Supuestos!$C$17</f>
        <v>0</v>
      </c>
      <c r="F56" s="26" t="n">
        <f aca="false">F55+D56-E56</f>
        <v>1369</v>
      </c>
      <c r="G56" s="17" t="n">
        <f aca="false">F56/Supuestos!$C$5</f>
        <v>5.70179092044981</v>
      </c>
      <c r="H56" s="26" t="n">
        <f aca="false">MAX(0,F55-Supuestos!$C$18)</f>
        <v>648.7</v>
      </c>
      <c r="I56" s="18" t="n">
        <f aca="false">IF(F56&gt;Supuestos!$C$18,I55+1,0)</f>
        <v>35</v>
      </c>
      <c r="J56" s="26" t="n">
        <f aca="false">F55*Supuestos!$C$19/12</f>
        <v>3.95869166666667</v>
      </c>
      <c r="K56" s="26" t="n">
        <f aca="false">H56*Supuestos!$C$11/12</f>
        <v>1.08116666666667</v>
      </c>
      <c r="L56" s="26" t="n">
        <f aca="false">IF(I55&gt;Supuestos!$C$12,H56*Supuestos!$C$13/12,0)</f>
        <v>0</v>
      </c>
      <c r="M56" s="26" t="n">
        <f aca="false">D56*Supuestos!$C$14</f>
        <v>0</v>
      </c>
      <c r="N56" s="26" t="n">
        <f aca="false">SUM(J56:M56)</f>
        <v>5.03985833333333</v>
      </c>
      <c r="O56" s="26" t="n">
        <f aca="false">E56+N56</f>
        <v>5.03985833333333</v>
      </c>
    </row>
    <row r="57" customFormat="false" ht="15" hidden="false" customHeight="false" outlineLevel="0" collapsed="false">
      <c r="A57" s="27" t="n">
        <f aca="false">EDATE(A56,1)</f>
        <v>47880</v>
      </c>
      <c r="B57" s="18" t="n">
        <f aca="false">YEAR(A57)*12+MONTH(A57)</f>
        <v>24374</v>
      </c>
      <c r="C57" s="18" t="n">
        <f aca="false">YEAR(A57)</f>
        <v>2031</v>
      </c>
      <c r="D57" s="26" t="n">
        <f aca="false">SUMIF(Supuestos!$I$23:$I$35,B57,Supuestos!$D$23:$D$35)</f>
        <v>0</v>
      </c>
      <c r="E57" s="26" t="n">
        <f aca="false">SUMPRODUCT(Supuestos!$D$23:$D$35*((B57-Supuestos!$I$23:$I$35)&gt;=Supuestos!$C$15)*((B57-Supuestos!$I$23:$I$35)&lt;=Supuestos!$C$16)*(MOD((B57-Supuestos!$I$23:$I$35)-Supuestos!$C$15,6)=0))/Supuestos!$C$17</f>
        <v>0</v>
      </c>
      <c r="F57" s="26" t="n">
        <f aca="false">F56+D57-E57</f>
        <v>1369</v>
      </c>
      <c r="G57" s="17" t="n">
        <f aca="false">F57/Supuestos!$C$5</f>
        <v>5.70179092044981</v>
      </c>
      <c r="H57" s="26" t="n">
        <f aca="false">MAX(0,F56-Supuestos!$C$18)</f>
        <v>648.7</v>
      </c>
      <c r="I57" s="18" t="n">
        <f aca="false">IF(F57&gt;Supuestos!$C$18,I56+1,0)</f>
        <v>36</v>
      </c>
      <c r="J57" s="26" t="n">
        <f aca="false">F56*Supuestos!$C$19/12</f>
        <v>3.95869166666667</v>
      </c>
      <c r="K57" s="26" t="n">
        <f aca="false">H57*Supuestos!$C$11/12</f>
        <v>1.08116666666667</v>
      </c>
      <c r="L57" s="26" t="n">
        <f aca="false">IF(I56&gt;Supuestos!$C$12,H57*Supuestos!$C$13/12,0)</f>
        <v>0</v>
      </c>
      <c r="M57" s="26" t="n">
        <f aca="false">D57*Supuestos!$C$14</f>
        <v>0</v>
      </c>
      <c r="N57" s="26" t="n">
        <f aca="false">SUM(J57:M57)</f>
        <v>5.03985833333333</v>
      </c>
      <c r="O57" s="26" t="n">
        <f aca="false">E57+N57</f>
        <v>5.03985833333333</v>
      </c>
    </row>
    <row r="58" customFormat="false" ht="15" hidden="false" customHeight="false" outlineLevel="0" collapsed="false">
      <c r="A58" s="27" t="n">
        <f aca="false">EDATE(A57,1)</f>
        <v>47908</v>
      </c>
      <c r="B58" s="18" t="n">
        <f aca="false">YEAR(A58)*12+MONTH(A58)</f>
        <v>24375</v>
      </c>
      <c r="C58" s="18" t="n">
        <f aca="false">YEAR(A58)</f>
        <v>2031</v>
      </c>
      <c r="D58" s="26" t="n">
        <f aca="false">SUMIF(Supuestos!$I$23:$I$35,B58,Supuestos!$D$23:$D$35)</f>
        <v>0</v>
      </c>
      <c r="E58" s="26" t="n">
        <f aca="false">SUMPRODUCT(Supuestos!$D$23:$D$35*((B58-Supuestos!$I$23:$I$35)&gt;=Supuestos!$C$15)*((B58-Supuestos!$I$23:$I$35)&lt;=Supuestos!$C$16)*(MOD((B58-Supuestos!$I$23:$I$35)-Supuestos!$C$15,6)=0))/Supuestos!$C$17</f>
        <v>0</v>
      </c>
      <c r="F58" s="26" t="n">
        <f aca="false">F57+D58-E58</f>
        <v>1369</v>
      </c>
      <c r="G58" s="17" t="n">
        <f aca="false">F58/Supuestos!$C$5</f>
        <v>5.70179092044981</v>
      </c>
      <c r="H58" s="26" t="n">
        <f aca="false">MAX(0,F57-Supuestos!$C$18)</f>
        <v>648.7</v>
      </c>
      <c r="I58" s="18" t="n">
        <f aca="false">IF(F58&gt;Supuestos!$C$18,I57+1,0)</f>
        <v>37</v>
      </c>
      <c r="J58" s="26" t="n">
        <f aca="false">F57*Supuestos!$C$19/12</f>
        <v>3.95869166666667</v>
      </c>
      <c r="K58" s="26" t="n">
        <f aca="false">H58*Supuestos!$C$11/12</f>
        <v>1.08116666666667</v>
      </c>
      <c r="L58" s="26" t="n">
        <f aca="false">IF(I57&gt;Supuestos!$C$12,H58*Supuestos!$C$13/12,0)</f>
        <v>0</v>
      </c>
      <c r="M58" s="26" t="n">
        <f aca="false">D58*Supuestos!$C$14</f>
        <v>0</v>
      </c>
      <c r="N58" s="26" t="n">
        <f aca="false">SUM(J58:M58)</f>
        <v>5.03985833333333</v>
      </c>
      <c r="O58" s="26" t="n">
        <f aca="false">E58+N58</f>
        <v>5.03985833333333</v>
      </c>
    </row>
    <row r="59" customFormat="false" ht="15" hidden="false" customHeight="false" outlineLevel="0" collapsed="false">
      <c r="A59" s="27" t="n">
        <f aca="false">EDATE(A58,1)</f>
        <v>47939</v>
      </c>
      <c r="B59" s="18" t="n">
        <f aca="false">YEAR(A59)*12+MONTH(A59)</f>
        <v>24376</v>
      </c>
      <c r="C59" s="18" t="n">
        <f aca="false">YEAR(A59)</f>
        <v>2031</v>
      </c>
      <c r="D59" s="26" t="n">
        <f aca="false">SUMIF(Supuestos!$I$23:$I$35,B59,Supuestos!$D$23:$D$35)</f>
        <v>0</v>
      </c>
      <c r="E59" s="26" t="n">
        <f aca="false">SUMPRODUCT(Supuestos!$D$23:$D$35*((B59-Supuestos!$I$23:$I$35)&gt;=Supuestos!$C$15)*((B59-Supuestos!$I$23:$I$35)&lt;=Supuestos!$C$16)*(MOD((B59-Supuestos!$I$23:$I$35)-Supuestos!$C$15,6)=0))/Supuestos!$C$17</f>
        <v>13.0083333333333</v>
      </c>
      <c r="F59" s="26" t="n">
        <f aca="false">F58+D59-E59</f>
        <v>1355.99166666667</v>
      </c>
      <c r="G59" s="17" t="n">
        <f aca="false">F59/Supuestos!$C$5</f>
        <v>5.64761210606692</v>
      </c>
      <c r="H59" s="26" t="n">
        <f aca="false">MAX(0,F58-Supuestos!$C$18)</f>
        <v>648.7</v>
      </c>
      <c r="I59" s="18" t="n">
        <f aca="false">IF(F59&gt;Supuestos!$C$18,I58+1,0)</f>
        <v>38</v>
      </c>
      <c r="J59" s="26" t="n">
        <f aca="false">F58*Supuestos!$C$19/12</f>
        <v>3.95869166666667</v>
      </c>
      <c r="K59" s="26" t="n">
        <f aca="false">H59*Supuestos!$C$11/12</f>
        <v>1.08116666666667</v>
      </c>
      <c r="L59" s="26" t="n">
        <f aca="false">IF(I58&gt;Supuestos!$C$12,H59*Supuestos!$C$13/12,0)</f>
        <v>0</v>
      </c>
      <c r="M59" s="26" t="n">
        <f aca="false">D59*Supuestos!$C$14</f>
        <v>0</v>
      </c>
      <c r="N59" s="26" t="n">
        <f aca="false">SUM(J59:M59)</f>
        <v>5.03985833333333</v>
      </c>
      <c r="O59" s="26" t="n">
        <f aca="false">E59+N59</f>
        <v>18.0481916666667</v>
      </c>
    </row>
    <row r="60" customFormat="false" ht="15" hidden="false" customHeight="false" outlineLevel="0" collapsed="false">
      <c r="A60" s="27" t="n">
        <f aca="false">EDATE(A59,1)</f>
        <v>47969</v>
      </c>
      <c r="B60" s="18" t="n">
        <f aca="false">YEAR(A60)*12+MONTH(A60)</f>
        <v>24377</v>
      </c>
      <c r="C60" s="18" t="n">
        <f aca="false">YEAR(A60)</f>
        <v>2031</v>
      </c>
      <c r="D60" s="26" t="n">
        <f aca="false">SUMIF(Supuestos!$I$23:$I$35,B60,Supuestos!$D$23:$D$35)</f>
        <v>0</v>
      </c>
      <c r="E60" s="26" t="n">
        <f aca="false">SUMPRODUCT(Supuestos!$D$23:$D$35*((B60-Supuestos!$I$23:$I$35)&gt;=Supuestos!$C$15)*((B60-Supuestos!$I$23:$I$35)&lt;=Supuestos!$C$16)*(MOD((B60-Supuestos!$I$23:$I$35)-Supuestos!$C$15,6)=0))/Supuestos!$C$17</f>
        <v>0</v>
      </c>
      <c r="F60" s="26" t="n">
        <f aca="false">F59+D60-E60</f>
        <v>1355.99166666667</v>
      </c>
      <c r="G60" s="17" t="n">
        <f aca="false">F60/Supuestos!$C$5</f>
        <v>5.64761210606692</v>
      </c>
      <c r="H60" s="26" t="n">
        <f aca="false">MAX(0,F59-Supuestos!$C$18)</f>
        <v>635.691666666667</v>
      </c>
      <c r="I60" s="18" t="n">
        <f aca="false">IF(F60&gt;Supuestos!$C$18,I59+1,0)</f>
        <v>39</v>
      </c>
      <c r="J60" s="26" t="n">
        <f aca="false">F59*Supuestos!$C$19/12</f>
        <v>3.92107590277778</v>
      </c>
      <c r="K60" s="26" t="n">
        <f aca="false">H60*Supuestos!$C$11/12</f>
        <v>1.05948611111111</v>
      </c>
      <c r="L60" s="26" t="n">
        <f aca="false">IF(I59&gt;Supuestos!$C$12,H60*Supuestos!$C$13/12,0)</f>
        <v>0</v>
      </c>
      <c r="M60" s="26" t="n">
        <f aca="false">D60*Supuestos!$C$14</f>
        <v>0</v>
      </c>
      <c r="N60" s="26" t="n">
        <f aca="false">SUM(J60:M60)</f>
        <v>4.98056201388889</v>
      </c>
      <c r="O60" s="26" t="n">
        <f aca="false">E60+N60</f>
        <v>4.98056201388889</v>
      </c>
    </row>
    <row r="61" customFormat="false" ht="15" hidden="false" customHeight="false" outlineLevel="0" collapsed="false">
      <c r="A61" s="27" t="n">
        <f aca="false">EDATE(A60,1)</f>
        <v>48000</v>
      </c>
      <c r="B61" s="18" t="n">
        <f aca="false">YEAR(A61)*12+MONTH(A61)</f>
        <v>24378</v>
      </c>
      <c r="C61" s="18" t="n">
        <f aca="false">YEAR(A61)</f>
        <v>2031</v>
      </c>
      <c r="D61" s="26" t="n">
        <f aca="false">SUMIF(Supuestos!$I$23:$I$35,B61,Supuestos!$D$23:$D$35)</f>
        <v>0</v>
      </c>
      <c r="E61" s="26" t="n">
        <f aca="false">SUMPRODUCT(Supuestos!$D$23:$D$35*((B61-Supuestos!$I$23:$I$35)&gt;=Supuestos!$C$15)*((B61-Supuestos!$I$23:$I$35)&lt;=Supuestos!$C$16)*(MOD((B61-Supuestos!$I$23:$I$35)-Supuestos!$C$15,6)=0))/Supuestos!$C$17</f>
        <v>13</v>
      </c>
      <c r="F61" s="26" t="n">
        <f aca="false">F60+D61-E61</f>
        <v>1342.99166666667</v>
      </c>
      <c r="G61" s="17" t="n">
        <f aca="false">F61/Supuestos!$C$5</f>
        <v>5.59346799944468</v>
      </c>
      <c r="H61" s="26" t="n">
        <f aca="false">MAX(0,F60-Supuestos!$C$18)</f>
        <v>635.691666666667</v>
      </c>
      <c r="I61" s="18" t="n">
        <f aca="false">IF(F61&gt;Supuestos!$C$18,I60+1,0)</f>
        <v>40</v>
      </c>
      <c r="J61" s="26" t="n">
        <f aca="false">F60*Supuestos!$C$19/12</f>
        <v>3.92107590277778</v>
      </c>
      <c r="K61" s="26" t="n">
        <f aca="false">H61*Supuestos!$C$11/12</f>
        <v>1.05948611111111</v>
      </c>
      <c r="L61" s="26" t="n">
        <f aca="false">IF(I60&gt;Supuestos!$C$12,H61*Supuestos!$C$13/12,0)</f>
        <v>0</v>
      </c>
      <c r="M61" s="26" t="n">
        <f aca="false">D61*Supuestos!$C$14</f>
        <v>0</v>
      </c>
      <c r="N61" s="26" t="n">
        <f aca="false">SUM(J61:M61)</f>
        <v>4.98056201388889</v>
      </c>
      <c r="O61" s="26" t="n">
        <f aca="false">E61+N61</f>
        <v>17.9805620138889</v>
      </c>
    </row>
    <row r="62" customFormat="false" ht="15" hidden="false" customHeight="false" outlineLevel="0" collapsed="false">
      <c r="A62" s="27" t="n">
        <f aca="false">EDATE(A61,1)</f>
        <v>48030</v>
      </c>
      <c r="B62" s="18" t="n">
        <f aca="false">YEAR(A62)*12+MONTH(A62)</f>
        <v>24379</v>
      </c>
      <c r="C62" s="18" t="n">
        <f aca="false">YEAR(A62)</f>
        <v>2031</v>
      </c>
      <c r="D62" s="26" t="n">
        <f aca="false">SUMIF(Supuestos!$I$23:$I$35,B62,Supuestos!$D$23:$D$35)</f>
        <v>0</v>
      </c>
      <c r="E62" s="26" t="n">
        <f aca="false">SUMPRODUCT(Supuestos!$D$23:$D$35*((B62-Supuestos!$I$23:$I$35)&gt;=Supuestos!$C$15)*((B62-Supuestos!$I$23:$I$35)&lt;=Supuestos!$C$16)*(MOD((B62-Supuestos!$I$23:$I$35)-Supuestos!$C$15,6)=0))/Supuestos!$C$17</f>
        <v>0</v>
      </c>
      <c r="F62" s="26" t="n">
        <f aca="false">F61+D62-E62</f>
        <v>1342.99166666667</v>
      </c>
      <c r="G62" s="17" t="n">
        <f aca="false">F62/Supuestos!$C$5</f>
        <v>5.59346799944468</v>
      </c>
      <c r="H62" s="26" t="n">
        <f aca="false">MAX(0,F61-Supuestos!$C$18)</f>
        <v>622.691666666667</v>
      </c>
      <c r="I62" s="18" t="n">
        <f aca="false">IF(F62&gt;Supuestos!$C$18,I61+1,0)</f>
        <v>41</v>
      </c>
      <c r="J62" s="26" t="n">
        <f aca="false">F61*Supuestos!$C$19/12</f>
        <v>3.88348423611111</v>
      </c>
      <c r="K62" s="26" t="n">
        <f aca="false">H62*Supuestos!$C$11/12</f>
        <v>1.03781944444444</v>
      </c>
      <c r="L62" s="26" t="n">
        <f aca="false">IF(I61&gt;Supuestos!$C$12,H62*Supuestos!$C$13/12,0)</f>
        <v>0</v>
      </c>
      <c r="M62" s="26" t="n">
        <f aca="false">D62*Supuestos!$C$14</f>
        <v>0</v>
      </c>
      <c r="N62" s="26" t="n">
        <f aca="false">SUM(J62:M62)</f>
        <v>4.92130368055556</v>
      </c>
      <c r="O62" s="26" t="n">
        <f aca="false">E62+N62</f>
        <v>4.92130368055556</v>
      </c>
    </row>
    <row r="63" customFormat="false" ht="15" hidden="false" customHeight="false" outlineLevel="0" collapsed="false">
      <c r="A63" s="27" t="n">
        <f aca="false">EDATE(A62,1)</f>
        <v>48061</v>
      </c>
      <c r="B63" s="18" t="n">
        <f aca="false">YEAR(A63)*12+MONTH(A63)</f>
        <v>24380</v>
      </c>
      <c r="C63" s="18" t="n">
        <f aca="false">YEAR(A63)</f>
        <v>2031</v>
      </c>
      <c r="D63" s="26" t="n">
        <f aca="false">SUMIF(Supuestos!$I$23:$I$35,B63,Supuestos!$D$23:$D$35)</f>
        <v>0</v>
      </c>
      <c r="E63" s="26" t="n">
        <f aca="false">SUMPRODUCT(Supuestos!$D$23:$D$35*((B63-Supuestos!$I$23:$I$35)&gt;=Supuestos!$C$15)*((B63-Supuestos!$I$23:$I$35)&lt;=Supuestos!$C$16)*(MOD((B63-Supuestos!$I$23:$I$35)-Supuestos!$C$15,6)=0))/Supuestos!$C$17</f>
        <v>0</v>
      </c>
      <c r="F63" s="26" t="n">
        <f aca="false">F62+D63-E63</f>
        <v>1342.99166666667</v>
      </c>
      <c r="G63" s="17" t="n">
        <f aca="false">F63/Supuestos!$C$5</f>
        <v>5.59346799944468</v>
      </c>
      <c r="H63" s="26" t="n">
        <f aca="false">MAX(0,F62-Supuestos!$C$18)</f>
        <v>622.691666666667</v>
      </c>
      <c r="I63" s="18" t="n">
        <f aca="false">IF(F63&gt;Supuestos!$C$18,I62+1,0)</f>
        <v>42</v>
      </c>
      <c r="J63" s="26" t="n">
        <f aca="false">F62*Supuestos!$C$19/12</f>
        <v>3.88348423611111</v>
      </c>
      <c r="K63" s="26" t="n">
        <f aca="false">H63*Supuestos!$C$11/12</f>
        <v>1.03781944444444</v>
      </c>
      <c r="L63" s="26" t="n">
        <f aca="false">IF(I62&gt;Supuestos!$C$12,H63*Supuestos!$C$13/12,0)</f>
        <v>0</v>
      </c>
      <c r="M63" s="26" t="n">
        <f aca="false">D63*Supuestos!$C$14</f>
        <v>0</v>
      </c>
      <c r="N63" s="26" t="n">
        <f aca="false">SUM(J63:M63)</f>
        <v>4.92130368055556</v>
      </c>
      <c r="O63" s="26" t="n">
        <f aca="false">E63+N63</f>
        <v>4.92130368055556</v>
      </c>
    </row>
    <row r="64" customFormat="false" ht="15" hidden="false" customHeight="false" outlineLevel="0" collapsed="false">
      <c r="A64" s="27" t="n">
        <f aca="false">EDATE(A63,1)</f>
        <v>48092</v>
      </c>
      <c r="B64" s="18" t="n">
        <f aca="false">YEAR(A64)*12+MONTH(A64)</f>
        <v>24381</v>
      </c>
      <c r="C64" s="18" t="n">
        <f aca="false">YEAR(A64)</f>
        <v>2031</v>
      </c>
      <c r="D64" s="26" t="n">
        <f aca="false">SUMIF(Supuestos!$I$23:$I$35,B64,Supuestos!$D$23:$D$35)</f>
        <v>0</v>
      </c>
      <c r="E64" s="26" t="n">
        <f aca="false">SUMPRODUCT(Supuestos!$D$23:$D$35*((B64-Supuestos!$I$23:$I$35)&gt;=Supuestos!$C$15)*((B64-Supuestos!$I$23:$I$35)&lt;=Supuestos!$C$16)*(MOD((B64-Supuestos!$I$23:$I$35)-Supuestos!$C$15,6)=0))/Supuestos!$C$17</f>
        <v>8.00666666666667</v>
      </c>
      <c r="F64" s="26" t="n">
        <f aca="false">F63+D64-E64</f>
        <v>1334.985</v>
      </c>
      <c r="G64" s="17" t="n">
        <f aca="false">F64/Supuestos!$C$5</f>
        <v>5.56012078300708</v>
      </c>
      <c r="H64" s="26" t="n">
        <f aca="false">MAX(0,F63-Supuestos!$C$18)</f>
        <v>622.691666666667</v>
      </c>
      <c r="I64" s="18" t="n">
        <f aca="false">IF(F64&gt;Supuestos!$C$18,I63+1,0)</f>
        <v>43</v>
      </c>
      <c r="J64" s="26" t="n">
        <f aca="false">F63*Supuestos!$C$19/12</f>
        <v>3.88348423611111</v>
      </c>
      <c r="K64" s="26" t="n">
        <f aca="false">H64*Supuestos!$C$11/12</f>
        <v>1.03781944444444</v>
      </c>
      <c r="L64" s="26" t="n">
        <f aca="false">IF(I63&gt;Supuestos!$C$12,H64*Supuestos!$C$13/12,0)</f>
        <v>0</v>
      </c>
      <c r="M64" s="26" t="n">
        <f aca="false">D64*Supuestos!$C$14</f>
        <v>0</v>
      </c>
      <c r="N64" s="26" t="n">
        <f aca="false">SUM(J64:M64)</f>
        <v>4.92130368055556</v>
      </c>
      <c r="O64" s="26" t="n">
        <f aca="false">E64+N64</f>
        <v>12.9279703472222</v>
      </c>
    </row>
    <row r="65" customFormat="false" ht="15" hidden="false" customHeight="false" outlineLevel="0" collapsed="false">
      <c r="A65" s="27" t="n">
        <f aca="false">EDATE(A64,1)</f>
        <v>48122</v>
      </c>
      <c r="B65" s="18" t="n">
        <f aca="false">YEAR(A65)*12+MONTH(A65)</f>
        <v>24382</v>
      </c>
      <c r="C65" s="18" t="n">
        <f aca="false">YEAR(A65)</f>
        <v>2031</v>
      </c>
      <c r="D65" s="26" t="n">
        <f aca="false">SUMIF(Supuestos!$I$23:$I$35,B65,Supuestos!$D$23:$D$35)</f>
        <v>0</v>
      </c>
      <c r="E65" s="26" t="n">
        <f aca="false">SUMPRODUCT(Supuestos!$D$23:$D$35*((B65-Supuestos!$I$23:$I$35)&gt;=Supuestos!$C$15)*((B65-Supuestos!$I$23:$I$35)&lt;=Supuestos!$C$16)*(MOD((B65-Supuestos!$I$23:$I$35)-Supuestos!$C$15,6)=0))/Supuestos!$C$17</f>
        <v>13.0083333333333</v>
      </c>
      <c r="F65" s="26" t="n">
        <f aca="false">F64+D65-E65</f>
        <v>1321.97666666667</v>
      </c>
      <c r="G65" s="17" t="n">
        <f aca="false">F65/Supuestos!$C$5</f>
        <v>5.50594196862418</v>
      </c>
      <c r="H65" s="26" t="n">
        <f aca="false">MAX(0,F64-Supuestos!$C$18)</f>
        <v>614.685</v>
      </c>
      <c r="I65" s="18" t="n">
        <f aca="false">IF(F65&gt;Supuestos!$C$18,I64+1,0)</f>
        <v>44</v>
      </c>
      <c r="J65" s="26" t="n">
        <f aca="false">F64*Supuestos!$C$19/12</f>
        <v>3.860331625</v>
      </c>
      <c r="K65" s="26" t="n">
        <f aca="false">H65*Supuestos!$C$11/12</f>
        <v>1.024475</v>
      </c>
      <c r="L65" s="26" t="n">
        <f aca="false">IF(I64&gt;Supuestos!$C$12,H65*Supuestos!$C$13/12,0)</f>
        <v>0</v>
      </c>
      <c r="M65" s="26" t="n">
        <f aca="false">D65*Supuestos!$C$14</f>
        <v>0</v>
      </c>
      <c r="N65" s="26" t="n">
        <f aca="false">SUM(J65:M65)</f>
        <v>4.884806625</v>
      </c>
      <c r="O65" s="26" t="n">
        <f aca="false">E65+N65</f>
        <v>17.8931399583333</v>
      </c>
    </row>
    <row r="66" customFormat="false" ht="15" hidden="false" customHeight="false" outlineLevel="0" collapsed="false">
      <c r="A66" s="27" t="n">
        <f aca="false">EDATE(A65,1)</f>
        <v>48153</v>
      </c>
      <c r="B66" s="18" t="n">
        <f aca="false">YEAR(A66)*12+MONTH(A66)</f>
        <v>24383</v>
      </c>
      <c r="C66" s="18" t="n">
        <f aca="false">YEAR(A66)</f>
        <v>2031</v>
      </c>
      <c r="D66" s="26" t="n">
        <f aca="false">SUMIF(Supuestos!$I$23:$I$35,B66,Supuestos!$D$23:$D$35)</f>
        <v>0</v>
      </c>
      <c r="E66" s="26" t="n">
        <f aca="false">SUMPRODUCT(Supuestos!$D$23:$D$35*((B66-Supuestos!$I$23:$I$35)&gt;=Supuestos!$C$15)*((B66-Supuestos!$I$23:$I$35)&lt;=Supuestos!$C$16)*(MOD((B66-Supuestos!$I$23:$I$35)-Supuestos!$C$15,6)=0))/Supuestos!$C$17</f>
        <v>0</v>
      </c>
      <c r="F66" s="26" t="n">
        <f aca="false">F65+D66-E66</f>
        <v>1321.97666666667</v>
      </c>
      <c r="G66" s="17" t="n">
        <f aca="false">F66/Supuestos!$C$5</f>
        <v>5.50594196862418</v>
      </c>
      <c r="H66" s="26" t="n">
        <f aca="false">MAX(0,F65-Supuestos!$C$18)</f>
        <v>601.676666666667</v>
      </c>
      <c r="I66" s="18" t="n">
        <f aca="false">IF(F66&gt;Supuestos!$C$18,I65+1,0)</f>
        <v>45</v>
      </c>
      <c r="J66" s="26" t="n">
        <f aca="false">F65*Supuestos!$C$19/12</f>
        <v>3.82271586111111</v>
      </c>
      <c r="K66" s="26" t="n">
        <f aca="false">H66*Supuestos!$C$11/12</f>
        <v>1.00279444444444</v>
      </c>
      <c r="L66" s="26" t="n">
        <f aca="false">IF(I65&gt;Supuestos!$C$12,H66*Supuestos!$C$13/12,0)</f>
        <v>0</v>
      </c>
      <c r="M66" s="26" t="n">
        <f aca="false">D66*Supuestos!$C$14</f>
        <v>0</v>
      </c>
      <c r="N66" s="26" t="n">
        <f aca="false">SUM(J66:M66)</f>
        <v>4.82551030555556</v>
      </c>
      <c r="O66" s="26" t="n">
        <f aca="false">E66+N66</f>
        <v>4.82551030555556</v>
      </c>
    </row>
    <row r="67" customFormat="false" ht="15" hidden="false" customHeight="false" outlineLevel="0" collapsed="false">
      <c r="A67" s="27" t="n">
        <f aca="false">EDATE(A66,1)</f>
        <v>48183</v>
      </c>
      <c r="B67" s="18" t="n">
        <f aca="false">YEAR(A67)*12+MONTH(A67)</f>
        <v>24384</v>
      </c>
      <c r="C67" s="18" t="n">
        <f aca="false">YEAR(A67)</f>
        <v>2031</v>
      </c>
      <c r="D67" s="26" t="n">
        <f aca="false">SUMIF(Supuestos!$I$23:$I$35,B67,Supuestos!$D$23:$D$35)</f>
        <v>0</v>
      </c>
      <c r="E67" s="26" t="n">
        <f aca="false">SUMPRODUCT(Supuestos!$D$23:$D$35*((B67-Supuestos!$I$23:$I$35)&gt;=Supuestos!$C$15)*((B67-Supuestos!$I$23:$I$35)&lt;=Supuestos!$C$16)*(MOD((B67-Supuestos!$I$23:$I$35)-Supuestos!$C$15,6)=0))/Supuestos!$C$17</f>
        <v>21.0066666666667</v>
      </c>
      <c r="F67" s="26" t="n">
        <f aca="false">F66+D67-E67</f>
        <v>1300.97</v>
      </c>
      <c r="G67" s="17" t="n">
        <f aca="false">F67/Supuestos!$C$5</f>
        <v>5.41845064556435</v>
      </c>
      <c r="H67" s="26" t="n">
        <f aca="false">MAX(0,F66-Supuestos!$C$18)</f>
        <v>601.676666666667</v>
      </c>
      <c r="I67" s="18" t="n">
        <f aca="false">IF(F67&gt;Supuestos!$C$18,I66+1,0)</f>
        <v>46</v>
      </c>
      <c r="J67" s="26" t="n">
        <f aca="false">F66*Supuestos!$C$19/12</f>
        <v>3.82271586111111</v>
      </c>
      <c r="K67" s="26" t="n">
        <f aca="false">H67*Supuestos!$C$11/12</f>
        <v>1.00279444444444</v>
      </c>
      <c r="L67" s="26" t="n">
        <f aca="false">IF(I66&gt;Supuestos!$C$12,H67*Supuestos!$C$13/12,0)</f>
        <v>0</v>
      </c>
      <c r="M67" s="26" t="n">
        <f aca="false">D67*Supuestos!$C$14</f>
        <v>0</v>
      </c>
      <c r="N67" s="26" t="n">
        <f aca="false">SUM(J67:M67)</f>
        <v>4.82551030555556</v>
      </c>
      <c r="O67" s="26" t="n">
        <f aca="false">E67+N67</f>
        <v>25.8321769722222</v>
      </c>
    </row>
    <row r="68" customFormat="false" ht="15" hidden="false" customHeight="false" outlineLevel="0" collapsed="false">
      <c r="A68" s="27" t="n">
        <f aca="false">EDATE(A67,1)</f>
        <v>48214</v>
      </c>
      <c r="B68" s="18" t="n">
        <f aca="false">YEAR(A68)*12+MONTH(A68)</f>
        <v>24385</v>
      </c>
      <c r="C68" s="18" t="n">
        <f aca="false">YEAR(A68)</f>
        <v>2032</v>
      </c>
      <c r="D68" s="26" t="n">
        <f aca="false">SUMIF(Supuestos!$I$23:$I$35,B68,Supuestos!$D$23:$D$35)</f>
        <v>0</v>
      </c>
      <c r="E68" s="26" t="n">
        <f aca="false">SUMPRODUCT(Supuestos!$D$23:$D$35*((B68-Supuestos!$I$23:$I$35)&gt;=Supuestos!$C$15)*((B68-Supuestos!$I$23:$I$35)&lt;=Supuestos!$C$16)*(MOD((B68-Supuestos!$I$23:$I$35)-Supuestos!$C$15,6)=0))/Supuestos!$C$17</f>
        <v>0</v>
      </c>
      <c r="F68" s="26" t="n">
        <f aca="false">F67+D68-E68</f>
        <v>1300.97</v>
      </c>
      <c r="G68" s="17" t="n">
        <f aca="false">F68/Supuestos!$C$5</f>
        <v>5.41845064556435</v>
      </c>
      <c r="H68" s="26" t="n">
        <f aca="false">MAX(0,F67-Supuestos!$C$18)</f>
        <v>580.67</v>
      </c>
      <c r="I68" s="18" t="n">
        <f aca="false">IF(F68&gt;Supuestos!$C$18,I67+1,0)</f>
        <v>47</v>
      </c>
      <c r="J68" s="26" t="n">
        <f aca="false">F67*Supuestos!$C$19/12</f>
        <v>3.76197158333333</v>
      </c>
      <c r="K68" s="26" t="n">
        <f aca="false">H68*Supuestos!$C$11/12</f>
        <v>0.967783333333333</v>
      </c>
      <c r="L68" s="26" t="n">
        <f aca="false">IF(I67&gt;Supuestos!$C$12,H68*Supuestos!$C$13/12,0)</f>
        <v>0</v>
      </c>
      <c r="M68" s="26" t="n">
        <f aca="false">D68*Supuestos!$C$14</f>
        <v>0</v>
      </c>
      <c r="N68" s="26" t="n">
        <f aca="false">SUM(J68:M68)</f>
        <v>4.72975491666667</v>
      </c>
      <c r="O68" s="26" t="n">
        <f aca="false">E68+N68</f>
        <v>4.72975491666667</v>
      </c>
    </row>
    <row r="69" customFormat="false" ht="15" hidden="false" customHeight="false" outlineLevel="0" collapsed="false">
      <c r="A69" s="27" t="n">
        <f aca="false">EDATE(A68,1)</f>
        <v>48245</v>
      </c>
      <c r="B69" s="18" t="n">
        <f aca="false">YEAR(A69)*12+MONTH(A69)</f>
        <v>24386</v>
      </c>
      <c r="C69" s="18" t="n">
        <f aca="false">YEAR(A69)</f>
        <v>2032</v>
      </c>
      <c r="D69" s="26" t="n">
        <f aca="false">SUMIF(Supuestos!$I$23:$I$35,B69,Supuestos!$D$23:$D$35)</f>
        <v>0</v>
      </c>
      <c r="E69" s="26" t="n">
        <f aca="false">SUMPRODUCT(Supuestos!$D$23:$D$35*((B69-Supuestos!$I$23:$I$35)&gt;=Supuestos!$C$15)*((B69-Supuestos!$I$23:$I$35)&lt;=Supuestos!$C$16)*(MOD((B69-Supuestos!$I$23:$I$35)-Supuestos!$C$15,6)=0))/Supuestos!$C$17</f>
        <v>0</v>
      </c>
      <c r="F69" s="26" t="n">
        <f aca="false">F68+D69-E69</f>
        <v>1300.97</v>
      </c>
      <c r="G69" s="17" t="n">
        <f aca="false">F69/Supuestos!$C$5</f>
        <v>5.41845064556435</v>
      </c>
      <c r="H69" s="26" t="n">
        <f aca="false">MAX(0,F68-Supuestos!$C$18)</f>
        <v>580.67</v>
      </c>
      <c r="I69" s="18" t="n">
        <f aca="false">IF(F69&gt;Supuestos!$C$18,I68+1,0)</f>
        <v>48</v>
      </c>
      <c r="J69" s="26" t="n">
        <f aca="false">F68*Supuestos!$C$19/12</f>
        <v>3.76197158333333</v>
      </c>
      <c r="K69" s="26" t="n">
        <f aca="false">H69*Supuestos!$C$11/12</f>
        <v>0.967783333333333</v>
      </c>
      <c r="L69" s="26" t="n">
        <f aca="false">IF(I68&gt;Supuestos!$C$12,H69*Supuestos!$C$13/12,0)</f>
        <v>0</v>
      </c>
      <c r="M69" s="26" t="n">
        <f aca="false">D69*Supuestos!$C$14</f>
        <v>0</v>
      </c>
      <c r="N69" s="26" t="n">
        <f aca="false">SUM(J69:M69)</f>
        <v>4.72975491666667</v>
      </c>
      <c r="O69" s="26" t="n">
        <f aca="false">E69+N69</f>
        <v>4.72975491666667</v>
      </c>
    </row>
    <row r="70" customFormat="false" ht="15" hidden="false" customHeight="false" outlineLevel="0" collapsed="false">
      <c r="A70" s="27" t="n">
        <f aca="false">EDATE(A69,1)</f>
        <v>48274</v>
      </c>
      <c r="B70" s="18" t="n">
        <f aca="false">YEAR(A70)*12+MONTH(A70)</f>
        <v>24387</v>
      </c>
      <c r="C70" s="18" t="n">
        <f aca="false">YEAR(A70)</f>
        <v>2032</v>
      </c>
      <c r="D70" s="26" t="n">
        <f aca="false">SUMIF(Supuestos!$I$23:$I$35,B70,Supuestos!$D$23:$D$35)</f>
        <v>0</v>
      </c>
      <c r="E70" s="26" t="n">
        <f aca="false">SUMPRODUCT(Supuestos!$D$23:$D$35*((B70-Supuestos!$I$23:$I$35)&gt;=Supuestos!$C$15)*((B70-Supuestos!$I$23:$I$35)&lt;=Supuestos!$C$16)*(MOD((B70-Supuestos!$I$23:$I$35)-Supuestos!$C$15,6)=0))/Supuestos!$C$17</f>
        <v>16.0133333333333</v>
      </c>
      <c r="F70" s="26" t="n">
        <f aca="false">F69+D70-E70</f>
        <v>1284.95666666667</v>
      </c>
      <c r="G70" s="17" t="n">
        <f aca="false">F70/Supuestos!$C$5</f>
        <v>5.35175621268916</v>
      </c>
      <c r="H70" s="26" t="n">
        <f aca="false">MAX(0,F69-Supuestos!$C$18)</f>
        <v>580.67</v>
      </c>
      <c r="I70" s="18" t="n">
        <f aca="false">IF(F70&gt;Supuestos!$C$18,I69+1,0)</f>
        <v>49</v>
      </c>
      <c r="J70" s="26" t="n">
        <f aca="false">F69*Supuestos!$C$19/12</f>
        <v>3.76197158333333</v>
      </c>
      <c r="K70" s="26" t="n">
        <f aca="false">H70*Supuestos!$C$11/12</f>
        <v>0.967783333333333</v>
      </c>
      <c r="L70" s="26" t="n">
        <f aca="false">IF(I69&gt;Supuestos!$C$12,H70*Supuestos!$C$13/12,0)</f>
        <v>0</v>
      </c>
      <c r="M70" s="26" t="n">
        <f aca="false">D70*Supuestos!$C$14</f>
        <v>0</v>
      </c>
      <c r="N70" s="26" t="n">
        <f aca="false">SUM(J70:M70)</f>
        <v>4.72975491666667</v>
      </c>
      <c r="O70" s="26" t="n">
        <f aca="false">E70+N70</f>
        <v>20.74308825</v>
      </c>
    </row>
    <row r="71" customFormat="false" ht="15" hidden="false" customHeight="false" outlineLevel="0" collapsed="false">
      <c r="A71" s="27" t="n">
        <f aca="false">EDATE(A70,1)</f>
        <v>48305</v>
      </c>
      <c r="B71" s="18" t="n">
        <f aca="false">YEAR(A71)*12+MONTH(A71)</f>
        <v>24388</v>
      </c>
      <c r="C71" s="18" t="n">
        <f aca="false">YEAR(A71)</f>
        <v>2032</v>
      </c>
      <c r="D71" s="26" t="n">
        <f aca="false">SUMIF(Supuestos!$I$23:$I$35,B71,Supuestos!$D$23:$D$35)</f>
        <v>0</v>
      </c>
      <c r="E71" s="26" t="n">
        <f aca="false">SUMPRODUCT(Supuestos!$D$23:$D$35*((B71-Supuestos!$I$23:$I$35)&gt;=Supuestos!$C$15)*((B71-Supuestos!$I$23:$I$35)&lt;=Supuestos!$C$16)*(MOD((B71-Supuestos!$I$23:$I$35)-Supuestos!$C$15,6)=0))/Supuestos!$C$17</f>
        <v>13.0083333333333</v>
      </c>
      <c r="F71" s="26" t="n">
        <f aca="false">F70+D71-E71</f>
        <v>1271.94833333333</v>
      </c>
      <c r="G71" s="17" t="n">
        <f aca="false">F71/Supuestos!$C$5</f>
        <v>5.29757739830626</v>
      </c>
      <c r="H71" s="26" t="n">
        <f aca="false">MAX(0,F70-Supuestos!$C$18)</f>
        <v>564.656666666667</v>
      </c>
      <c r="I71" s="18" t="n">
        <f aca="false">IF(F71&gt;Supuestos!$C$18,I70+1,0)</f>
        <v>50</v>
      </c>
      <c r="J71" s="26" t="n">
        <f aca="false">F70*Supuestos!$C$19/12</f>
        <v>3.71566636111111</v>
      </c>
      <c r="K71" s="26" t="n">
        <f aca="false">H71*Supuestos!$C$11/12</f>
        <v>0.941094444444444</v>
      </c>
      <c r="L71" s="26" t="n">
        <f aca="false">IF(I70&gt;Supuestos!$C$12,H71*Supuestos!$C$13/12,0)</f>
        <v>0</v>
      </c>
      <c r="M71" s="26" t="n">
        <f aca="false">D71*Supuestos!$C$14</f>
        <v>0</v>
      </c>
      <c r="N71" s="26" t="n">
        <f aca="false">SUM(J71:M71)</f>
        <v>4.65676080555556</v>
      </c>
      <c r="O71" s="26" t="n">
        <f aca="false">E71+N71</f>
        <v>17.6650941388889</v>
      </c>
    </row>
    <row r="72" customFormat="false" ht="15" hidden="false" customHeight="false" outlineLevel="0" collapsed="false">
      <c r="A72" s="27" t="n">
        <f aca="false">EDATE(A71,1)</f>
        <v>48335</v>
      </c>
      <c r="B72" s="18" t="n">
        <f aca="false">YEAR(A72)*12+MONTH(A72)</f>
        <v>24389</v>
      </c>
      <c r="C72" s="18" t="n">
        <f aca="false">YEAR(A72)</f>
        <v>2032</v>
      </c>
      <c r="D72" s="26" t="n">
        <f aca="false">SUMIF(Supuestos!$I$23:$I$35,B72,Supuestos!$D$23:$D$35)</f>
        <v>0</v>
      </c>
      <c r="E72" s="26" t="n">
        <f aca="false">SUMPRODUCT(Supuestos!$D$23:$D$35*((B72-Supuestos!$I$23:$I$35)&gt;=Supuestos!$C$15)*((B72-Supuestos!$I$23:$I$35)&lt;=Supuestos!$C$16)*(MOD((B72-Supuestos!$I$23:$I$35)-Supuestos!$C$15,6)=0))/Supuestos!$C$17</f>
        <v>0</v>
      </c>
      <c r="F72" s="26" t="n">
        <f aca="false">F71+D72-E72</f>
        <v>1271.94833333333</v>
      </c>
      <c r="G72" s="17" t="n">
        <f aca="false">F72/Supuestos!$C$5</f>
        <v>5.29757739830626</v>
      </c>
      <c r="H72" s="26" t="n">
        <f aca="false">MAX(0,F71-Supuestos!$C$18)</f>
        <v>551.648333333333</v>
      </c>
      <c r="I72" s="18" t="n">
        <f aca="false">IF(F72&gt;Supuestos!$C$18,I71+1,0)</f>
        <v>51</v>
      </c>
      <c r="J72" s="26" t="n">
        <f aca="false">F71*Supuestos!$C$19/12</f>
        <v>3.67805059722222</v>
      </c>
      <c r="K72" s="26" t="n">
        <f aca="false">H72*Supuestos!$C$11/12</f>
        <v>0.919413888888888</v>
      </c>
      <c r="L72" s="26" t="n">
        <f aca="false">IF(I71&gt;Supuestos!$C$12,H72*Supuestos!$C$13/12,0)</f>
        <v>0</v>
      </c>
      <c r="M72" s="26" t="n">
        <f aca="false">D72*Supuestos!$C$14</f>
        <v>0</v>
      </c>
      <c r="N72" s="26" t="n">
        <f aca="false">SUM(J72:M72)</f>
        <v>4.59746448611111</v>
      </c>
      <c r="O72" s="26" t="n">
        <f aca="false">E72+N72</f>
        <v>4.59746448611111</v>
      </c>
    </row>
    <row r="73" customFormat="false" ht="15" hidden="false" customHeight="false" outlineLevel="0" collapsed="false">
      <c r="A73" s="27" t="n">
        <f aca="false">EDATE(A72,1)</f>
        <v>48366</v>
      </c>
      <c r="B73" s="18" t="n">
        <f aca="false">YEAR(A73)*12+MONTH(A73)</f>
        <v>24390</v>
      </c>
      <c r="C73" s="18" t="n">
        <f aca="false">YEAR(A73)</f>
        <v>2032</v>
      </c>
      <c r="D73" s="26" t="n">
        <f aca="false">SUMIF(Supuestos!$I$23:$I$35,B73,Supuestos!$D$23:$D$35)</f>
        <v>0</v>
      </c>
      <c r="E73" s="26" t="n">
        <f aca="false">SUMPRODUCT(Supuestos!$D$23:$D$35*((B73-Supuestos!$I$23:$I$35)&gt;=Supuestos!$C$15)*((B73-Supuestos!$I$23:$I$35)&lt;=Supuestos!$C$16)*(MOD((B73-Supuestos!$I$23:$I$35)-Supuestos!$C$15,6)=0))/Supuestos!$C$17</f>
        <v>29.0133333333333</v>
      </c>
      <c r="F73" s="26" t="n">
        <f aca="false">F72+D73-E73</f>
        <v>1242.935</v>
      </c>
      <c r="G73" s="17" t="n">
        <f aca="false">F73/Supuestos!$C$5</f>
        <v>5.17673885880883</v>
      </c>
      <c r="H73" s="26" t="n">
        <f aca="false">MAX(0,F72-Supuestos!$C$18)</f>
        <v>551.648333333333</v>
      </c>
      <c r="I73" s="18" t="n">
        <f aca="false">IF(F73&gt;Supuestos!$C$18,I72+1,0)</f>
        <v>52</v>
      </c>
      <c r="J73" s="26" t="n">
        <f aca="false">F72*Supuestos!$C$19/12</f>
        <v>3.67805059722222</v>
      </c>
      <c r="K73" s="26" t="n">
        <f aca="false">H73*Supuestos!$C$11/12</f>
        <v>0.919413888888888</v>
      </c>
      <c r="L73" s="26" t="n">
        <f aca="false">IF(I72&gt;Supuestos!$C$12,H73*Supuestos!$C$13/12,0)</f>
        <v>0</v>
      </c>
      <c r="M73" s="26" t="n">
        <f aca="false">D73*Supuestos!$C$14</f>
        <v>0</v>
      </c>
      <c r="N73" s="26" t="n">
        <f aca="false">SUM(J73:M73)</f>
        <v>4.59746448611111</v>
      </c>
      <c r="O73" s="26" t="n">
        <f aca="false">E73+N73</f>
        <v>33.6107978194444</v>
      </c>
    </row>
    <row r="74" customFormat="false" ht="15" hidden="false" customHeight="false" outlineLevel="0" collapsed="false">
      <c r="A74" s="27" t="n">
        <f aca="false">EDATE(A73,1)</f>
        <v>48396</v>
      </c>
      <c r="B74" s="18" t="n">
        <f aca="false">YEAR(A74)*12+MONTH(A74)</f>
        <v>24391</v>
      </c>
      <c r="C74" s="18" t="n">
        <f aca="false">YEAR(A74)</f>
        <v>2032</v>
      </c>
      <c r="D74" s="26" t="n">
        <f aca="false">SUMIF(Supuestos!$I$23:$I$35,B74,Supuestos!$D$23:$D$35)</f>
        <v>0</v>
      </c>
      <c r="E74" s="26" t="n">
        <f aca="false">SUMPRODUCT(Supuestos!$D$23:$D$35*((B74-Supuestos!$I$23:$I$35)&gt;=Supuestos!$C$15)*((B74-Supuestos!$I$23:$I$35)&lt;=Supuestos!$C$16)*(MOD((B74-Supuestos!$I$23:$I$35)-Supuestos!$C$15,6)=0))/Supuestos!$C$17</f>
        <v>0</v>
      </c>
      <c r="F74" s="26" t="n">
        <f aca="false">F73+D74-E74</f>
        <v>1242.935</v>
      </c>
      <c r="G74" s="17" t="n">
        <f aca="false">F74/Supuestos!$C$5</f>
        <v>5.17673885880883</v>
      </c>
      <c r="H74" s="26" t="n">
        <f aca="false">MAX(0,F73-Supuestos!$C$18)</f>
        <v>522.635</v>
      </c>
      <c r="I74" s="18" t="n">
        <f aca="false">IF(F74&gt;Supuestos!$C$18,I73+1,0)</f>
        <v>53</v>
      </c>
      <c r="J74" s="26" t="n">
        <f aca="false">F73*Supuestos!$C$19/12</f>
        <v>3.59415370833333</v>
      </c>
      <c r="K74" s="26" t="n">
        <f aca="false">H74*Supuestos!$C$11/12</f>
        <v>0.871058333333333</v>
      </c>
      <c r="L74" s="26" t="n">
        <f aca="false">IF(I73&gt;Supuestos!$C$12,H74*Supuestos!$C$13/12,0)</f>
        <v>0.326646875</v>
      </c>
      <c r="M74" s="26" t="n">
        <f aca="false">D74*Supuestos!$C$14</f>
        <v>0</v>
      </c>
      <c r="N74" s="26" t="n">
        <f aca="false">SUM(J74:M74)</f>
        <v>4.79185891666667</v>
      </c>
      <c r="O74" s="26" t="n">
        <f aca="false">E74+N74</f>
        <v>4.79185891666667</v>
      </c>
    </row>
    <row r="75" customFormat="false" ht="15" hidden="false" customHeight="false" outlineLevel="0" collapsed="false">
      <c r="A75" s="27" t="n">
        <f aca="false">EDATE(A74,1)</f>
        <v>48427</v>
      </c>
      <c r="B75" s="18" t="n">
        <f aca="false">YEAR(A75)*12+MONTH(A75)</f>
        <v>24392</v>
      </c>
      <c r="C75" s="18" t="n">
        <f aca="false">YEAR(A75)</f>
        <v>2032</v>
      </c>
      <c r="D75" s="26" t="n">
        <f aca="false">SUMIF(Supuestos!$I$23:$I$35,B75,Supuestos!$D$23:$D$35)</f>
        <v>0</v>
      </c>
      <c r="E75" s="26" t="n">
        <f aca="false">SUMPRODUCT(Supuestos!$D$23:$D$35*((B75-Supuestos!$I$23:$I$35)&gt;=Supuestos!$C$15)*((B75-Supuestos!$I$23:$I$35)&lt;=Supuestos!$C$16)*(MOD((B75-Supuestos!$I$23:$I$35)-Supuestos!$C$15,6)=0))/Supuestos!$C$17</f>
        <v>0</v>
      </c>
      <c r="F75" s="26" t="n">
        <f aca="false">F74+D75-E75</f>
        <v>1242.935</v>
      </c>
      <c r="G75" s="17" t="n">
        <f aca="false">F75/Supuestos!$C$5</f>
        <v>5.17673885880883</v>
      </c>
      <c r="H75" s="26" t="n">
        <f aca="false">MAX(0,F74-Supuestos!$C$18)</f>
        <v>522.635</v>
      </c>
      <c r="I75" s="18" t="n">
        <f aca="false">IF(F75&gt;Supuestos!$C$18,I74+1,0)</f>
        <v>54</v>
      </c>
      <c r="J75" s="26" t="n">
        <f aca="false">F74*Supuestos!$C$19/12</f>
        <v>3.59415370833333</v>
      </c>
      <c r="K75" s="26" t="n">
        <f aca="false">H75*Supuestos!$C$11/12</f>
        <v>0.871058333333333</v>
      </c>
      <c r="L75" s="26" t="n">
        <f aca="false">IF(I74&gt;Supuestos!$C$12,H75*Supuestos!$C$13/12,0)</f>
        <v>0.326646875</v>
      </c>
      <c r="M75" s="26" t="n">
        <f aca="false">D75*Supuestos!$C$14</f>
        <v>0</v>
      </c>
      <c r="N75" s="26" t="n">
        <f aca="false">SUM(J75:M75)</f>
        <v>4.79185891666667</v>
      </c>
      <c r="O75" s="26" t="n">
        <f aca="false">E75+N75</f>
        <v>4.79185891666667</v>
      </c>
    </row>
    <row r="76" customFormat="false" ht="15" hidden="false" customHeight="false" outlineLevel="0" collapsed="false">
      <c r="A76" s="27" t="n">
        <f aca="false">EDATE(A75,1)</f>
        <v>48458</v>
      </c>
      <c r="B76" s="18" t="n">
        <f aca="false">YEAR(A76)*12+MONTH(A76)</f>
        <v>24393</v>
      </c>
      <c r="C76" s="18" t="n">
        <f aca="false">YEAR(A76)</f>
        <v>2032</v>
      </c>
      <c r="D76" s="26" t="n">
        <f aca="false">SUMIF(Supuestos!$I$23:$I$35,B76,Supuestos!$D$23:$D$35)</f>
        <v>0</v>
      </c>
      <c r="E76" s="26" t="n">
        <f aca="false">SUMPRODUCT(Supuestos!$D$23:$D$35*((B76-Supuestos!$I$23:$I$35)&gt;=Supuestos!$C$15)*((B76-Supuestos!$I$23:$I$35)&lt;=Supuestos!$C$16)*(MOD((B76-Supuestos!$I$23:$I$35)-Supuestos!$C$15,6)=0))/Supuestos!$C$17</f>
        <v>24.02</v>
      </c>
      <c r="F76" s="26" t="n">
        <f aca="false">F75+D76-E76</f>
        <v>1218.915</v>
      </c>
      <c r="G76" s="17" t="n">
        <f aca="false">F76/Supuestos!$C$5</f>
        <v>5.07669720949604</v>
      </c>
      <c r="H76" s="26" t="n">
        <f aca="false">MAX(0,F75-Supuestos!$C$18)</f>
        <v>522.635</v>
      </c>
      <c r="I76" s="18" t="n">
        <f aca="false">IF(F76&gt;Supuestos!$C$18,I75+1,0)</f>
        <v>55</v>
      </c>
      <c r="J76" s="26" t="n">
        <f aca="false">F75*Supuestos!$C$19/12</f>
        <v>3.59415370833333</v>
      </c>
      <c r="K76" s="26" t="n">
        <f aca="false">H76*Supuestos!$C$11/12</f>
        <v>0.871058333333333</v>
      </c>
      <c r="L76" s="26" t="n">
        <f aca="false">IF(I75&gt;Supuestos!$C$12,H76*Supuestos!$C$13/12,0)</f>
        <v>0.326646875</v>
      </c>
      <c r="M76" s="26" t="n">
        <f aca="false">D76*Supuestos!$C$14</f>
        <v>0</v>
      </c>
      <c r="N76" s="26" t="n">
        <f aca="false">SUM(J76:M76)</f>
        <v>4.79185891666667</v>
      </c>
      <c r="O76" s="26" t="n">
        <f aca="false">E76+N76</f>
        <v>28.8118589166667</v>
      </c>
    </row>
    <row r="77" customFormat="false" ht="15" hidden="false" customHeight="false" outlineLevel="0" collapsed="false">
      <c r="A77" s="27" t="n">
        <f aca="false">EDATE(A76,1)</f>
        <v>48488</v>
      </c>
      <c r="B77" s="18" t="n">
        <f aca="false">YEAR(A77)*12+MONTH(A77)</f>
        <v>24394</v>
      </c>
      <c r="C77" s="18" t="n">
        <f aca="false">YEAR(A77)</f>
        <v>2032</v>
      </c>
      <c r="D77" s="26" t="n">
        <f aca="false">SUMIF(Supuestos!$I$23:$I$35,B77,Supuestos!$D$23:$D$35)</f>
        <v>0</v>
      </c>
      <c r="E77" s="26" t="n">
        <f aca="false">SUMPRODUCT(Supuestos!$D$23:$D$35*((B77-Supuestos!$I$23:$I$35)&gt;=Supuestos!$C$15)*((B77-Supuestos!$I$23:$I$35)&lt;=Supuestos!$C$16)*(MOD((B77-Supuestos!$I$23:$I$35)-Supuestos!$C$15,6)=0))/Supuestos!$C$17</f>
        <v>13.0083333333333</v>
      </c>
      <c r="F77" s="26" t="n">
        <f aca="false">F76+D77-E77</f>
        <v>1205.90666666667</v>
      </c>
      <c r="G77" s="17" t="n">
        <f aca="false">F77/Supuestos!$C$5</f>
        <v>5.02251839511315</v>
      </c>
      <c r="H77" s="26" t="n">
        <f aca="false">MAX(0,F76-Supuestos!$C$18)</f>
        <v>498.615</v>
      </c>
      <c r="I77" s="18" t="n">
        <f aca="false">IF(F77&gt;Supuestos!$C$18,I76+1,0)</f>
        <v>56</v>
      </c>
      <c r="J77" s="26" t="n">
        <f aca="false">F76*Supuestos!$C$19/12</f>
        <v>3.524695875</v>
      </c>
      <c r="K77" s="26" t="n">
        <f aca="false">H77*Supuestos!$C$11/12</f>
        <v>0.831025</v>
      </c>
      <c r="L77" s="26" t="n">
        <f aca="false">IF(I76&gt;Supuestos!$C$12,H77*Supuestos!$C$13/12,0)</f>
        <v>0.311634375</v>
      </c>
      <c r="M77" s="26" t="n">
        <f aca="false">D77*Supuestos!$C$14</f>
        <v>0</v>
      </c>
      <c r="N77" s="26" t="n">
        <f aca="false">SUM(J77:M77)</f>
        <v>4.66735525</v>
      </c>
      <c r="O77" s="26" t="n">
        <f aca="false">E77+N77</f>
        <v>17.6756885833333</v>
      </c>
    </row>
    <row r="78" customFormat="false" ht="15" hidden="false" customHeight="false" outlineLevel="0" collapsed="false">
      <c r="A78" s="27" t="n">
        <f aca="false">EDATE(A77,1)</f>
        <v>48519</v>
      </c>
      <c r="B78" s="18" t="n">
        <f aca="false">YEAR(A78)*12+MONTH(A78)</f>
        <v>24395</v>
      </c>
      <c r="C78" s="18" t="n">
        <f aca="false">YEAR(A78)</f>
        <v>2032</v>
      </c>
      <c r="D78" s="26" t="n">
        <f aca="false">SUMIF(Supuestos!$I$23:$I$35,B78,Supuestos!$D$23:$D$35)</f>
        <v>0</v>
      </c>
      <c r="E78" s="26" t="n">
        <f aca="false">SUMPRODUCT(Supuestos!$D$23:$D$35*((B78-Supuestos!$I$23:$I$35)&gt;=Supuestos!$C$15)*((B78-Supuestos!$I$23:$I$35)&lt;=Supuestos!$C$16)*(MOD((B78-Supuestos!$I$23:$I$35)-Supuestos!$C$15,6)=0))/Supuestos!$C$17</f>
        <v>0</v>
      </c>
      <c r="F78" s="26" t="n">
        <f aca="false">F77+D78-E78</f>
        <v>1205.90666666667</v>
      </c>
      <c r="G78" s="17" t="n">
        <f aca="false">F78/Supuestos!$C$5</f>
        <v>5.02251839511315</v>
      </c>
      <c r="H78" s="26" t="n">
        <f aca="false">MAX(0,F77-Supuestos!$C$18)</f>
        <v>485.606666666666</v>
      </c>
      <c r="I78" s="18" t="n">
        <f aca="false">IF(F78&gt;Supuestos!$C$18,I77+1,0)</f>
        <v>57</v>
      </c>
      <c r="J78" s="26" t="n">
        <f aca="false">F77*Supuestos!$C$19/12</f>
        <v>3.48708011111111</v>
      </c>
      <c r="K78" s="26" t="n">
        <f aca="false">H78*Supuestos!$C$11/12</f>
        <v>0.809344444444444</v>
      </c>
      <c r="L78" s="26" t="n">
        <f aca="false">IF(I77&gt;Supuestos!$C$12,H78*Supuestos!$C$13/12,0)</f>
        <v>0.303504166666666</v>
      </c>
      <c r="M78" s="26" t="n">
        <f aca="false">D78*Supuestos!$C$14</f>
        <v>0</v>
      </c>
      <c r="N78" s="26" t="n">
        <f aca="false">SUM(J78:M78)</f>
        <v>4.59992872222222</v>
      </c>
      <c r="O78" s="26" t="n">
        <f aca="false">E78+N78</f>
        <v>4.59992872222222</v>
      </c>
    </row>
    <row r="79" customFormat="false" ht="15" hidden="false" customHeight="false" outlineLevel="0" collapsed="false">
      <c r="A79" s="27" t="n">
        <f aca="false">EDATE(A78,1)</f>
        <v>48549</v>
      </c>
      <c r="B79" s="18" t="n">
        <f aca="false">YEAR(A79)*12+MONTH(A79)</f>
        <v>24396</v>
      </c>
      <c r="C79" s="18" t="n">
        <f aca="false">YEAR(A79)</f>
        <v>2032</v>
      </c>
      <c r="D79" s="26" t="n">
        <f aca="false">SUMIF(Supuestos!$I$23:$I$35,B79,Supuestos!$D$23:$D$35)</f>
        <v>0</v>
      </c>
      <c r="E79" s="26" t="n">
        <f aca="false">SUMPRODUCT(Supuestos!$D$23:$D$35*((B79-Supuestos!$I$23:$I$35)&gt;=Supuestos!$C$15)*((B79-Supuestos!$I$23:$I$35)&lt;=Supuestos!$C$16)*(MOD((B79-Supuestos!$I$23:$I$35)-Supuestos!$C$15,6)=0))/Supuestos!$C$17</f>
        <v>37.02</v>
      </c>
      <c r="F79" s="26" t="n">
        <f aca="false">F78+D79-E79</f>
        <v>1168.88666666667</v>
      </c>
      <c r="G79" s="17" t="n">
        <f aca="false">F79/Supuestos!$C$5</f>
        <v>4.86833263917812</v>
      </c>
      <c r="H79" s="26" t="n">
        <f aca="false">MAX(0,F78-Supuestos!$C$18)</f>
        <v>485.606666666666</v>
      </c>
      <c r="I79" s="18" t="n">
        <f aca="false">IF(F79&gt;Supuestos!$C$18,I78+1,0)</f>
        <v>58</v>
      </c>
      <c r="J79" s="26" t="n">
        <f aca="false">F78*Supuestos!$C$19/12</f>
        <v>3.48708011111111</v>
      </c>
      <c r="K79" s="26" t="n">
        <f aca="false">H79*Supuestos!$C$11/12</f>
        <v>0.809344444444444</v>
      </c>
      <c r="L79" s="26" t="n">
        <f aca="false">IF(I78&gt;Supuestos!$C$12,H79*Supuestos!$C$13/12,0)</f>
        <v>0.303504166666666</v>
      </c>
      <c r="M79" s="26" t="n">
        <f aca="false">D79*Supuestos!$C$14</f>
        <v>0</v>
      </c>
      <c r="N79" s="26" t="n">
        <f aca="false">SUM(J79:M79)</f>
        <v>4.59992872222222</v>
      </c>
      <c r="O79" s="26" t="n">
        <f aca="false">E79+N79</f>
        <v>41.6199287222222</v>
      </c>
    </row>
    <row r="80" customFormat="false" ht="15" hidden="false" customHeight="false" outlineLevel="0" collapsed="false">
      <c r="A80" s="27" t="n">
        <f aca="false">EDATE(A79,1)</f>
        <v>48580</v>
      </c>
      <c r="B80" s="18" t="n">
        <f aca="false">YEAR(A80)*12+MONTH(A80)</f>
        <v>24397</v>
      </c>
      <c r="C80" s="18" t="n">
        <f aca="false">YEAR(A80)</f>
        <v>2033</v>
      </c>
      <c r="D80" s="26" t="n">
        <f aca="false">SUMIF(Supuestos!$I$23:$I$35,B80,Supuestos!$D$23:$D$35)</f>
        <v>0</v>
      </c>
      <c r="E80" s="26" t="n">
        <f aca="false">SUMPRODUCT(Supuestos!$D$23:$D$35*((B80-Supuestos!$I$23:$I$35)&gt;=Supuestos!$C$15)*((B80-Supuestos!$I$23:$I$35)&lt;=Supuestos!$C$16)*(MOD((B80-Supuestos!$I$23:$I$35)-Supuestos!$C$15,6)=0))/Supuestos!$C$17</f>
        <v>0</v>
      </c>
      <c r="F80" s="26" t="n">
        <f aca="false">F79+D80-E80</f>
        <v>1168.88666666667</v>
      </c>
      <c r="G80" s="17" t="n">
        <f aca="false">F80/Supuestos!$C$5</f>
        <v>4.86833263917812</v>
      </c>
      <c r="H80" s="26" t="n">
        <f aca="false">MAX(0,F79-Supuestos!$C$18)</f>
        <v>448.586666666666</v>
      </c>
      <c r="I80" s="18" t="n">
        <f aca="false">IF(F80&gt;Supuestos!$C$18,I79+1,0)</f>
        <v>59</v>
      </c>
      <c r="J80" s="26" t="n">
        <f aca="false">F79*Supuestos!$C$19/12</f>
        <v>3.38003061111111</v>
      </c>
      <c r="K80" s="26" t="n">
        <f aca="false">H80*Supuestos!$C$11/12</f>
        <v>0.747644444444444</v>
      </c>
      <c r="L80" s="26" t="n">
        <f aca="false">IF(I79&gt;Supuestos!$C$12,H80*Supuestos!$C$13/12,0)</f>
        <v>0.280366666666667</v>
      </c>
      <c r="M80" s="26" t="n">
        <f aca="false">D80*Supuestos!$C$14</f>
        <v>0</v>
      </c>
      <c r="N80" s="26" t="n">
        <f aca="false">SUM(J80:M80)</f>
        <v>4.40804172222222</v>
      </c>
      <c r="O80" s="26" t="n">
        <f aca="false">E80+N80</f>
        <v>4.40804172222222</v>
      </c>
    </row>
    <row r="81" customFormat="false" ht="15" hidden="false" customHeight="false" outlineLevel="0" collapsed="false">
      <c r="A81" s="27" t="n">
        <f aca="false">EDATE(A80,1)</f>
        <v>48611</v>
      </c>
      <c r="B81" s="18" t="n">
        <f aca="false">YEAR(A81)*12+MONTH(A81)</f>
        <v>24398</v>
      </c>
      <c r="C81" s="18" t="n">
        <f aca="false">YEAR(A81)</f>
        <v>2033</v>
      </c>
      <c r="D81" s="26" t="n">
        <f aca="false">SUMIF(Supuestos!$I$23:$I$35,B81,Supuestos!$D$23:$D$35)</f>
        <v>0</v>
      </c>
      <c r="E81" s="26" t="n">
        <f aca="false">SUMPRODUCT(Supuestos!$D$23:$D$35*((B81-Supuestos!$I$23:$I$35)&gt;=Supuestos!$C$15)*((B81-Supuestos!$I$23:$I$35)&lt;=Supuestos!$C$16)*(MOD((B81-Supuestos!$I$23:$I$35)-Supuestos!$C$15,6)=0))/Supuestos!$C$17</f>
        <v>0</v>
      </c>
      <c r="F81" s="26" t="n">
        <f aca="false">F80+D81-E81</f>
        <v>1168.88666666667</v>
      </c>
      <c r="G81" s="17" t="n">
        <f aca="false">F81/Supuestos!$C$5</f>
        <v>4.86833263917812</v>
      </c>
      <c r="H81" s="26" t="n">
        <f aca="false">MAX(0,F80-Supuestos!$C$18)</f>
        <v>448.586666666666</v>
      </c>
      <c r="I81" s="18" t="n">
        <f aca="false">IF(F81&gt;Supuestos!$C$18,I80+1,0)</f>
        <v>60</v>
      </c>
      <c r="J81" s="26" t="n">
        <f aca="false">F80*Supuestos!$C$19/12</f>
        <v>3.38003061111111</v>
      </c>
      <c r="K81" s="26" t="n">
        <f aca="false">H81*Supuestos!$C$11/12</f>
        <v>0.747644444444444</v>
      </c>
      <c r="L81" s="26" t="n">
        <f aca="false">IF(I80&gt;Supuestos!$C$12,H81*Supuestos!$C$13/12,0)</f>
        <v>0.280366666666667</v>
      </c>
      <c r="M81" s="26" t="n">
        <f aca="false">D81*Supuestos!$C$14</f>
        <v>0</v>
      </c>
      <c r="N81" s="26" t="n">
        <f aca="false">SUM(J81:M81)</f>
        <v>4.40804172222222</v>
      </c>
      <c r="O81" s="26" t="n">
        <f aca="false">E81+N81</f>
        <v>4.40804172222222</v>
      </c>
    </row>
    <row r="82" customFormat="false" ht="15" hidden="false" customHeight="false" outlineLevel="0" collapsed="false">
      <c r="A82" s="27" t="n">
        <f aca="false">EDATE(A81,1)</f>
        <v>48639</v>
      </c>
      <c r="B82" s="18" t="n">
        <f aca="false">YEAR(A82)*12+MONTH(A82)</f>
        <v>24399</v>
      </c>
      <c r="C82" s="18" t="n">
        <f aca="false">YEAR(A82)</f>
        <v>2033</v>
      </c>
      <c r="D82" s="26" t="n">
        <f aca="false">SUMIF(Supuestos!$I$23:$I$35,B82,Supuestos!$D$23:$D$35)</f>
        <v>0</v>
      </c>
      <c r="E82" s="26" t="n">
        <f aca="false">SUMPRODUCT(Supuestos!$D$23:$D$35*((B82-Supuestos!$I$23:$I$35)&gt;=Supuestos!$C$15)*((B82-Supuestos!$I$23:$I$35)&lt;=Supuestos!$C$16)*(MOD((B82-Supuestos!$I$23:$I$35)-Supuestos!$C$15,6)=0))/Supuestos!$C$17</f>
        <v>32.0266666666667</v>
      </c>
      <c r="F82" s="26" t="n">
        <f aca="false">F81+D82-E82</f>
        <v>1136.86</v>
      </c>
      <c r="G82" s="17" t="n">
        <f aca="false">F82/Supuestos!$C$5</f>
        <v>4.73494377342774</v>
      </c>
      <c r="H82" s="26" t="n">
        <f aca="false">MAX(0,F81-Supuestos!$C$18)</f>
        <v>448.586666666666</v>
      </c>
      <c r="I82" s="18" t="n">
        <f aca="false">IF(F82&gt;Supuestos!$C$18,I81+1,0)</f>
        <v>61</v>
      </c>
      <c r="J82" s="26" t="n">
        <f aca="false">F81*Supuestos!$C$19/12</f>
        <v>3.38003061111111</v>
      </c>
      <c r="K82" s="26" t="n">
        <f aca="false">H82*Supuestos!$C$11/12</f>
        <v>0.747644444444444</v>
      </c>
      <c r="L82" s="26" t="n">
        <f aca="false">IF(I81&gt;Supuestos!$C$12,H82*Supuestos!$C$13/12,0)</f>
        <v>0.280366666666667</v>
      </c>
      <c r="M82" s="26" t="n">
        <f aca="false">D82*Supuestos!$C$14</f>
        <v>0</v>
      </c>
      <c r="N82" s="26" t="n">
        <f aca="false">SUM(J82:M82)</f>
        <v>4.40804172222222</v>
      </c>
      <c r="O82" s="26" t="n">
        <f aca="false">E82+N82</f>
        <v>36.4347083888889</v>
      </c>
    </row>
    <row r="83" customFormat="false" ht="15" hidden="false" customHeight="false" outlineLevel="0" collapsed="false">
      <c r="A83" s="27" t="n">
        <f aca="false">EDATE(A82,1)</f>
        <v>48670</v>
      </c>
      <c r="B83" s="18" t="n">
        <f aca="false">YEAR(A83)*12+MONTH(A83)</f>
        <v>24400</v>
      </c>
      <c r="C83" s="18" t="n">
        <f aca="false">YEAR(A83)</f>
        <v>2033</v>
      </c>
      <c r="D83" s="26" t="n">
        <f aca="false">SUMIF(Supuestos!$I$23:$I$35,B83,Supuestos!$D$23:$D$35)</f>
        <v>0</v>
      </c>
      <c r="E83" s="26" t="n">
        <f aca="false">SUMPRODUCT(Supuestos!$D$23:$D$35*((B83-Supuestos!$I$23:$I$35)&gt;=Supuestos!$C$15)*((B83-Supuestos!$I$23:$I$35)&lt;=Supuestos!$C$16)*(MOD((B83-Supuestos!$I$23:$I$35)-Supuestos!$C$15,6)=0))/Supuestos!$C$17</f>
        <v>13.0083333333333</v>
      </c>
      <c r="F83" s="26" t="n">
        <f aca="false">F82+D83-E83</f>
        <v>1123.85166666667</v>
      </c>
      <c r="G83" s="17" t="n">
        <f aca="false">F83/Supuestos!$C$5</f>
        <v>4.68076495904484</v>
      </c>
      <c r="H83" s="26" t="n">
        <f aca="false">MAX(0,F82-Supuestos!$C$18)</f>
        <v>416.56</v>
      </c>
      <c r="I83" s="18" t="n">
        <f aca="false">IF(F83&gt;Supuestos!$C$18,I82+1,0)</f>
        <v>62</v>
      </c>
      <c r="J83" s="26" t="n">
        <f aca="false">F82*Supuestos!$C$19/12</f>
        <v>3.28742016666667</v>
      </c>
      <c r="K83" s="26" t="n">
        <f aca="false">H83*Supuestos!$C$11/12</f>
        <v>0.694266666666666</v>
      </c>
      <c r="L83" s="26" t="n">
        <f aca="false">IF(I82&gt;Supuestos!$C$12,H83*Supuestos!$C$13/12,0)</f>
        <v>0.26035</v>
      </c>
      <c r="M83" s="26" t="n">
        <f aca="false">D83*Supuestos!$C$14</f>
        <v>0</v>
      </c>
      <c r="N83" s="26" t="n">
        <f aca="false">SUM(J83:M83)</f>
        <v>4.24203683333333</v>
      </c>
      <c r="O83" s="26" t="n">
        <f aca="false">E83+N83</f>
        <v>17.2503701666667</v>
      </c>
    </row>
    <row r="84" customFormat="false" ht="15" hidden="false" customHeight="false" outlineLevel="0" collapsed="false">
      <c r="A84" s="27" t="n">
        <f aca="false">EDATE(A83,1)</f>
        <v>48700</v>
      </c>
      <c r="B84" s="18" t="n">
        <f aca="false">YEAR(A84)*12+MONTH(A84)</f>
        <v>24401</v>
      </c>
      <c r="C84" s="18" t="n">
        <f aca="false">YEAR(A84)</f>
        <v>2033</v>
      </c>
      <c r="D84" s="26" t="n">
        <f aca="false">SUMIF(Supuestos!$I$23:$I$35,B84,Supuestos!$D$23:$D$35)</f>
        <v>0</v>
      </c>
      <c r="E84" s="26" t="n">
        <f aca="false">SUMPRODUCT(Supuestos!$D$23:$D$35*((B84-Supuestos!$I$23:$I$35)&gt;=Supuestos!$C$15)*((B84-Supuestos!$I$23:$I$35)&lt;=Supuestos!$C$16)*(MOD((B84-Supuestos!$I$23:$I$35)-Supuestos!$C$15,6)=0))/Supuestos!$C$17</f>
        <v>0</v>
      </c>
      <c r="F84" s="26" t="n">
        <f aca="false">F83+D84-E84</f>
        <v>1123.85166666667</v>
      </c>
      <c r="G84" s="17" t="n">
        <f aca="false">F84/Supuestos!$C$5</f>
        <v>4.68076495904484</v>
      </c>
      <c r="H84" s="26" t="n">
        <f aca="false">MAX(0,F83-Supuestos!$C$18)</f>
        <v>403.551666666666</v>
      </c>
      <c r="I84" s="18" t="n">
        <f aca="false">IF(F84&gt;Supuestos!$C$18,I83+1,0)</f>
        <v>63</v>
      </c>
      <c r="J84" s="26" t="n">
        <f aca="false">F83*Supuestos!$C$19/12</f>
        <v>3.24980440277778</v>
      </c>
      <c r="K84" s="26" t="n">
        <f aca="false">H84*Supuestos!$C$11/12</f>
        <v>0.67258611111111</v>
      </c>
      <c r="L84" s="26" t="n">
        <f aca="false">IF(I83&gt;Supuestos!$C$12,H84*Supuestos!$C$13/12,0)</f>
        <v>0.252219791666666</v>
      </c>
      <c r="M84" s="26" t="n">
        <f aca="false">D84*Supuestos!$C$14</f>
        <v>0</v>
      </c>
      <c r="N84" s="26" t="n">
        <f aca="false">SUM(J84:M84)</f>
        <v>4.17461030555555</v>
      </c>
      <c r="O84" s="26" t="n">
        <f aca="false">E84+N84</f>
        <v>4.17461030555555</v>
      </c>
    </row>
    <row r="85" customFormat="false" ht="15" hidden="false" customHeight="false" outlineLevel="0" collapsed="false">
      <c r="A85" s="27" t="n">
        <f aca="false">EDATE(A84,1)</f>
        <v>48731</v>
      </c>
      <c r="B85" s="18" t="n">
        <f aca="false">YEAR(A85)*12+MONTH(A85)</f>
        <v>24402</v>
      </c>
      <c r="C85" s="18" t="n">
        <f aca="false">YEAR(A85)</f>
        <v>2033</v>
      </c>
      <c r="D85" s="26" t="n">
        <f aca="false">SUMIF(Supuestos!$I$23:$I$35,B85,Supuestos!$D$23:$D$35)</f>
        <v>0</v>
      </c>
      <c r="E85" s="26" t="n">
        <f aca="false">SUMPRODUCT(Supuestos!$D$23:$D$35*((B85-Supuestos!$I$23:$I$35)&gt;=Supuestos!$C$15)*((B85-Supuestos!$I$23:$I$35)&lt;=Supuestos!$C$16)*(MOD((B85-Supuestos!$I$23:$I$35)-Supuestos!$C$15,6)=0))/Supuestos!$C$17</f>
        <v>45.0266666666667</v>
      </c>
      <c r="F85" s="26" t="n">
        <f aca="false">F84+D85-E85</f>
        <v>1078.825</v>
      </c>
      <c r="G85" s="17" t="n">
        <f aca="false">F85/Supuestos!$C$5</f>
        <v>4.49323198667222</v>
      </c>
      <c r="H85" s="26" t="n">
        <f aca="false">MAX(0,F84-Supuestos!$C$18)</f>
        <v>403.551666666666</v>
      </c>
      <c r="I85" s="18" t="n">
        <f aca="false">IF(F85&gt;Supuestos!$C$18,I84+1,0)</f>
        <v>64</v>
      </c>
      <c r="J85" s="26" t="n">
        <f aca="false">F84*Supuestos!$C$19/12</f>
        <v>3.24980440277778</v>
      </c>
      <c r="K85" s="26" t="n">
        <f aca="false">H85*Supuestos!$C$11/12</f>
        <v>0.67258611111111</v>
      </c>
      <c r="L85" s="26" t="n">
        <f aca="false">IF(I84&gt;Supuestos!$C$12,H85*Supuestos!$C$13/12,0)</f>
        <v>0.252219791666666</v>
      </c>
      <c r="M85" s="26" t="n">
        <f aca="false">D85*Supuestos!$C$14</f>
        <v>0</v>
      </c>
      <c r="N85" s="26" t="n">
        <f aca="false">SUM(J85:M85)</f>
        <v>4.17461030555555</v>
      </c>
      <c r="O85" s="26" t="n">
        <f aca="false">E85+N85</f>
        <v>49.2012769722222</v>
      </c>
    </row>
    <row r="86" customFormat="false" ht="15" hidden="false" customHeight="false" outlineLevel="0" collapsed="false">
      <c r="A86" s="27" t="n">
        <f aca="false">EDATE(A85,1)</f>
        <v>48761</v>
      </c>
      <c r="B86" s="18" t="n">
        <f aca="false">YEAR(A86)*12+MONTH(A86)</f>
        <v>24403</v>
      </c>
      <c r="C86" s="18" t="n">
        <f aca="false">YEAR(A86)</f>
        <v>2033</v>
      </c>
      <c r="D86" s="26" t="n">
        <f aca="false">SUMIF(Supuestos!$I$23:$I$35,B86,Supuestos!$D$23:$D$35)</f>
        <v>0</v>
      </c>
      <c r="E86" s="26" t="n">
        <f aca="false">SUMPRODUCT(Supuestos!$D$23:$D$35*((B86-Supuestos!$I$23:$I$35)&gt;=Supuestos!$C$15)*((B86-Supuestos!$I$23:$I$35)&lt;=Supuestos!$C$16)*(MOD((B86-Supuestos!$I$23:$I$35)-Supuestos!$C$15,6)=0))/Supuestos!$C$17</f>
        <v>0</v>
      </c>
      <c r="F86" s="26" t="n">
        <f aca="false">F85+D86-E86</f>
        <v>1078.825</v>
      </c>
      <c r="G86" s="17" t="n">
        <f aca="false">F86/Supuestos!$C$5</f>
        <v>4.49323198667222</v>
      </c>
      <c r="H86" s="26" t="n">
        <f aca="false">MAX(0,F85-Supuestos!$C$18)</f>
        <v>358.525</v>
      </c>
      <c r="I86" s="18" t="n">
        <f aca="false">IF(F86&gt;Supuestos!$C$18,I85+1,0)</f>
        <v>65</v>
      </c>
      <c r="J86" s="26" t="n">
        <f aca="false">F85*Supuestos!$C$19/12</f>
        <v>3.11960229166667</v>
      </c>
      <c r="K86" s="26" t="n">
        <f aca="false">H86*Supuestos!$C$11/12</f>
        <v>0.597541666666666</v>
      </c>
      <c r="L86" s="26" t="n">
        <f aca="false">IF(I85&gt;Supuestos!$C$12,H86*Supuestos!$C$13/12,0)</f>
        <v>0.224078125</v>
      </c>
      <c r="M86" s="26" t="n">
        <f aca="false">D86*Supuestos!$C$14</f>
        <v>0</v>
      </c>
      <c r="N86" s="26" t="n">
        <f aca="false">SUM(J86:M86)</f>
        <v>3.94122208333333</v>
      </c>
      <c r="O86" s="26" t="n">
        <f aca="false">E86+N86</f>
        <v>3.94122208333333</v>
      </c>
    </row>
    <row r="87" customFormat="false" ht="15" hidden="false" customHeight="false" outlineLevel="0" collapsed="false">
      <c r="A87" s="27" t="n">
        <f aca="false">EDATE(A86,1)</f>
        <v>48792</v>
      </c>
      <c r="B87" s="18" t="n">
        <f aca="false">YEAR(A87)*12+MONTH(A87)</f>
        <v>24404</v>
      </c>
      <c r="C87" s="18" t="n">
        <f aca="false">YEAR(A87)</f>
        <v>2033</v>
      </c>
      <c r="D87" s="26" t="n">
        <f aca="false">SUMIF(Supuestos!$I$23:$I$35,B87,Supuestos!$D$23:$D$35)</f>
        <v>0</v>
      </c>
      <c r="E87" s="26" t="n">
        <f aca="false">SUMPRODUCT(Supuestos!$D$23:$D$35*((B87-Supuestos!$I$23:$I$35)&gt;=Supuestos!$C$15)*((B87-Supuestos!$I$23:$I$35)&lt;=Supuestos!$C$16)*(MOD((B87-Supuestos!$I$23:$I$35)-Supuestos!$C$15,6)=0))/Supuestos!$C$17</f>
        <v>0</v>
      </c>
      <c r="F87" s="26" t="n">
        <f aca="false">F86+D87-E87</f>
        <v>1078.825</v>
      </c>
      <c r="G87" s="17" t="n">
        <f aca="false">F87/Supuestos!$C$5</f>
        <v>4.49323198667222</v>
      </c>
      <c r="H87" s="26" t="n">
        <f aca="false">MAX(0,F86-Supuestos!$C$18)</f>
        <v>358.525</v>
      </c>
      <c r="I87" s="18" t="n">
        <f aca="false">IF(F87&gt;Supuestos!$C$18,I86+1,0)</f>
        <v>66</v>
      </c>
      <c r="J87" s="26" t="n">
        <f aca="false">F86*Supuestos!$C$19/12</f>
        <v>3.11960229166667</v>
      </c>
      <c r="K87" s="26" t="n">
        <f aca="false">H87*Supuestos!$C$11/12</f>
        <v>0.597541666666666</v>
      </c>
      <c r="L87" s="26" t="n">
        <f aca="false">IF(I86&gt;Supuestos!$C$12,H87*Supuestos!$C$13/12,0)</f>
        <v>0.224078125</v>
      </c>
      <c r="M87" s="26" t="n">
        <f aca="false">D87*Supuestos!$C$14</f>
        <v>0</v>
      </c>
      <c r="N87" s="26" t="n">
        <f aca="false">SUM(J87:M87)</f>
        <v>3.94122208333333</v>
      </c>
      <c r="O87" s="26" t="n">
        <f aca="false">E87+N87</f>
        <v>3.94122208333333</v>
      </c>
    </row>
    <row r="88" customFormat="false" ht="15" hidden="false" customHeight="false" outlineLevel="0" collapsed="false">
      <c r="A88" s="27" t="n">
        <f aca="false">EDATE(A87,1)</f>
        <v>48823</v>
      </c>
      <c r="B88" s="18" t="n">
        <f aca="false">YEAR(A88)*12+MONTH(A88)</f>
        <v>24405</v>
      </c>
      <c r="C88" s="18" t="n">
        <f aca="false">YEAR(A88)</f>
        <v>2033</v>
      </c>
      <c r="D88" s="26" t="n">
        <f aca="false">SUMIF(Supuestos!$I$23:$I$35,B88,Supuestos!$D$23:$D$35)</f>
        <v>0</v>
      </c>
      <c r="E88" s="26" t="n">
        <f aca="false">SUMPRODUCT(Supuestos!$D$23:$D$35*((B88-Supuestos!$I$23:$I$35)&gt;=Supuestos!$C$15)*((B88-Supuestos!$I$23:$I$35)&lt;=Supuestos!$C$16)*(MOD((B88-Supuestos!$I$23:$I$35)-Supuestos!$C$15,6)=0))/Supuestos!$C$17</f>
        <v>40.0333333333333</v>
      </c>
      <c r="F88" s="26" t="n">
        <f aca="false">F87+D88-E88</f>
        <v>1038.79166666667</v>
      </c>
      <c r="G88" s="17" t="n">
        <f aca="false">F88/Supuestos!$C$5</f>
        <v>4.32649590448424</v>
      </c>
      <c r="H88" s="26" t="n">
        <f aca="false">MAX(0,F87-Supuestos!$C$18)</f>
        <v>358.525</v>
      </c>
      <c r="I88" s="18" t="n">
        <f aca="false">IF(F88&gt;Supuestos!$C$18,I87+1,0)</f>
        <v>67</v>
      </c>
      <c r="J88" s="26" t="n">
        <f aca="false">F87*Supuestos!$C$19/12</f>
        <v>3.11960229166667</v>
      </c>
      <c r="K88" s="26" t="n">
        <f aca="false">H88*Supuestos!$C$11/12</f>
        <v>0.597541666666666</v>
      </c>
      <c r="L88" s="26" t="n">
        <f aca="false">IF(I87&gt;Supuestos!$C$12,H88*Supuestos!$C$13/12,0)</f>
        <v>0.224078125</v>
      </c>
      <c r="M88" s="26" t="n">
        <f aca="false">D88*Supuestos!$C$14</f>
        <v>0</v>
      </c>
      <c r="N88" s="26" t="n">
        <f aca="false">SUM(J88:M88)</f>
        <v>3.94122208333333</v>
      </c>
      <c r="O88" s="26" t="n">
        <f aca="false">E88+N88</f>
        <v>43.9745554166667</v>
      </c>
    </row>
    <row r="89" customFormat="false" ht="15" hidden="false" customHeight="false" outlineLevel="0" collapsed="false">
      <c r="A89" s="27" t="n">
        <f aca="false">EDATE(A88,1)</f>
        <v>48853</v>
      </c>
      <c r="B89" s="18" t="n">
        <f aca="false">YEAR(A89)*12+MONTH(A89)</f>
        <v>24406</v>
      </c>
      <c r="C89" s="18" t="n">
        <f aca="false">YEAR(A89)</f>
        <v>2033</v>
      </c>
      <c r="D89" s="26" t="n">
        <f aca="false">SUMIF(Supuestos!$I$23:$I$35,B89,Supuestos!$D$23:$D$35)</f>
        <v>0</v>
      </c>
      <c r="E89" s="26" t="n">
        <f aca="false">SUMPRODUCT(Supuestos!$D$23:$D$35*((B89-Supuestos!$I$23:$I$35)&gt;=Supuestos!$C$15)*((B89-Supuestos!$I$23:$I$35)&lt;=Supuestos!$C$16)*(MOD((B89-Supuestos!$I$23:$I$35)-Supuestos!$C$15,6)=0))/Supuestos!$C$17</f>
        <v>13.0083333333333</v>
      </c>
      <c r="F89" s="26" t="n">
        <f aca="false">F88+D89-E89</f>
        <v>1025.78333333333</v>
      </c>
      <c r="G89" s="17" t="n">
        <f aca="false">F89/Supuestos!$C$5</f>
        <v>4.27231709010134</v>
      </c>
      <c r="H89" s="26" t="n">
        <f aca="false">MAX(0,F88-Supuestos!$C$18)</f>
        <v>318.491666666666</v>
      </c>
      <c r="I89" s="18" t="n">
        <f aca="false">IF(F89&gt;Supuestos!$C$18,I88+1,0)</f>
        <v>68</v>
      </c>
      <c r="J89" s="26" t="n">
        <f aca="false">F88*Supuestos!$C$19/12</f>
        <v>3.00383923611111</v>
      </c>
      <c r="K89" s="26" t="n">
        <f aca="false">H89*Supuestos!$C$11/12</f>
        <v>0.530819444444444</v>
      </c>
      <c r="L89" s="26" t="n">
        <f aca="false">IF(I88&gt;Supuestos!$C$12,H89*Supuestos!$C$13/12,0)</f>
        <v>0.199057291666666</v>
      </c>
      <c r="M89" s="26" t="n">
        <f aca="false">D89*Supuestos!$C$14</f>
        <v>0</v>
      </c>
      <c r="N89" s="26" t="n">
        <f aca="false">SUM(J89:M89)</f>
        <v>3.73371597222222</v>
      </c>
      <c r="O89" s="26" t="n">
        <f aca="false">E89+N89</f>
        <v>16.7420493055556</v>
      </c>
    </row>
    <row r="90" customFormat="false" ht="15" hidden="false" customHeight="false" outlineLevel="0" collapsed="false">
      <c r="A90" s="27" t="n">
        <f aca="false">EDATE(A89,1)</f>
        <v>48884</v>
      </c>
      <c r="B90" s="18" t="n">
        <f aca="false">YEAR(A90)*12+MONTH(A90)</f>
        <v>24407</v>
      </c>
      <c r="C90" s="18" t="n">
        <f aca="false">YEAR(A90)</f>
        <v>2033</v>
      </c>
      <c r="D90" s="26" t="n">
        <f aca="false">SUMIF(Supuestos!$I$23:$I$35,B90,Supuestos!$D$23:$D$35)</f>
        <v>0</v>
      </c>
      <c r="E90" s="26" t="n">
        <f aca="false">SUMPRODUCT(Supuestos!$D$23:$D$35*((B90-Supuestos!$I$23:$I$35)&gt;=Supuestos!$C$15)*((B90-Supuestos!$I$23:$I$35)&lt;=Supuestos!$C$16)*(MOD((B90-Supuestos!$I$23:$I$35)-Supuestos!$C$15,6)=0))/Supuestos!$C$17</f>
        <v>0</v>
      </c>
      <c r="F90" s="26" t="n">
        <f aca="false">F89+D90-E90</f>
        <v>1025.78333333333</v>
      </c>
      <c r="G90" s="17" t="n">
        <f aca="false">F90/Supuestos!$C$5</f>
        <v>4.27231709010134</v>
      </c>
      <c r="H90" s="26" t="n">
        <f aca="false">MAX(0,F89-Supuestos!$C$18)</f>
        <v>305.483333333333</v>
      </c>
      <c r="I90" s="18" t="n">
        <f aca="false">IF(F90&gt;Supuestos!$C$18,I89+1,0)</f>
        <v>69</v>
      </c>
      <c r="J90" s="26" t="n">
        <f aca="false">F89*Supuestos!$C$19/12</f>
        <v>2.96622347222222</v>
      </c>
      <c r="K90" s="26" t="n">
        <f aca="false">H90*Supuestos!$C$11/12</f>
        <v>0.509138888888888</v>
      </c>
      <c r="L90" s="26" t="n">
        <f aca="false">IF(I89&gt;Supuestos!$C$12,H90*Supuestos!$C$13/12,0)</f>
        <v>0.190927083333333</v>
      </c>
      <c r="M90" s="26" t="n">
        <f aca="false">D90*Supuestos!$C$14</f>
        <v>0</v>
      </c>
      <c r="N90" s="26" t="n">
        <f aca="false">SUM(J90:M90)</f>
        <v>3.66628944444444</v>
      </c>
      <c r="O90" s="26" t="n">
        <f aca="false">E90+N90</f>
        <v>3.66628944444444</v>
      </c>
    </row>
    <row r="91" customFormat="false" ht="15" hidden="false" customHeight="false" outlineLevel="0" collapsed="false">
      <c r="A91" s="27" t="n">
        <f aca="false">EDATE(A90,1)</f>
        <v>48914</v>
      </c>
      <c r="B91" s="18" t="n">
        <f aca="false">YEAR(A91)*12+MONTH(A91)</f>
        <v>24408</v>
      </c>
      <c r="C91" s="18" t="n">
        <f aca="false">YEAR(A91)</f>
        <v>2033</v>
      </c>
      <c r="D91" s="26" t="n">
        <f aca="false">SUMIF(Supuestos!$I$23:$I$35,B91,Supuestos!$D$23:$D$35)</f>
        <v>0</v>
      </c>
      <c r="E91" s="26" t="n">
        <f aca="false">SUMPRODUCT(Supuestos!$D$23:$D$35*((B91-Supuestos!$I$23:$I$35)&gt;=Supuestos!$C$15)*((B91-Supuestos!$I$23:$I$35)&lt;=Supuestos!$C$16)*(MOD((B91-Supuestos!$I$23:$I$35)-Supuestos!$C$15,6)=0))/Supuestos!$C$17</f>
        <v>53.0333333333333</v>
      </c>
      <c r="F91" s="26" t="n">
        <f aca="false">F90+D91-E91</f>
        <v>972.75</v>
      </c>
      <c r="G91" s="17" t="n">
        <f aca="false">F91/Supuestos!$C$5</f>
        <v>4.05143690129113</v>
      </c>
      <c r="H91" s="26" t="n">
        <f aca="false">MAX(0,F90-Supuestos!$C$18)</f>
        <v>305.483333333333</v>
      </c>
      <c r="I91" s="18" t="n">
        <f aca="false">IF(F91&gt;Supuestos!$C$18,I90+1,0)</f>
        <v>70</v>
      </c>
      <c r="J91" s="26" t="n">
        <f aca="false">F90*Supuestos!$C$19/12</f>
        <v>2.96622347222222</v>
      </c>
      <c r="K91" s="26" t="n">
        <f aca="false">H91*Supuestos!$C$11/12</f>
        <v>0.509138888888888</v>
      </c>
      <c r="L91" s="26" t="n">
        <f aca="false">IF(I90&gt;Supuestos!$C$12,H91*Supuestos!$C$13/12,0)</f>
        <v>0.190927083333333</v>
      </c>
      <c r="M91" s="26" t="n">
        <f aca="false">D91*Supuestos!$C$14</f>
        <v>0</v>
      </c>
      <c r="N91" s="26" t="n">
        <f aca="false">SUM(J91:M91)</f>
        <v>3.66628944444444</v>
      </c>
      <c r="O91" s="26" t="n">
        <f aca="false">E91+N91</f>
        <v>56.6996227777778</v>
      </c>
    </row>
    <row r="92" customFormat="false" ht="15" hidden="false" customHeight="false" outlineLevel="0" collapsed="false">
      <c r="A92" s="27" t="n">
        <f aca="false">EDATE(A91,1)</f>
        <v>48945</v>
      </c>
      <c r="B92" s="18" t="n">
        <f aca="false">YEAR(A92)*12+MONTH(A92)</f>
        <v>24409</v>
      </c>
      <c r="C92" s="18" t="n">
        <f aca="false">YEAR(A92)</f>
        <v>2034</v>
      </c>
      <c r="D92" s="26" t="n">
        <f aca="false">SUMIF(Supuestos!$I$23:$I$35,B92,Supuestos!$D$23:$D$35)</f>
        <v>0</v>
      </c>
      <c r="E92" s="26" t="n">
        <f aca="false">SUMPRODUCT(Supuestos!$D$23:$D$35*((B92-Supuestos!$I$23:$I$35)&gt;=Supuestos!$C$15)*((B92-Supuestos!$I$23:$I$35)&lt;=Supuestos!$C$16)*(MOD((B92-Supuestos!$I$23:$I$35)-Supuestos!$C$15,6)=0))/Supuestos!$C$17</f>
        <v>0</v>
      </c>
      <c r="F92" s="26" t="n">
        <f aca="false">F91+D92-E92</f>
        <v>972.75</v>
      </c>
      <c r="G92" s="17" t="n">
        <f aca="false">F92/Supuestos!$C$5</f>
        <v>4.05143690129113</v>
      </c>
      <c r="H92" s="26" t="n">
        <f aca="false">MAX(0,F91-Supuestos!$C$18)</f>
        <v>252.45</v>
      </c>
      <c r="I92" s="18" t="n">
        <f aca="false">IF(F92&gt;Supuestos!$C$18,I91+1,0)</f>
        <v>71</v>
      </c>
      <c r="J92" s="26" t="n">
        <f aca="false">F91*Supuestos!$C$19/12</f>
        <v>2.81286875</v>
      </c>
      <c r="K92" s="26" t="n">
        <f aca="false">H92*Supuestos!$C$11/12</f>
        <v>0.420749999999999</v>
      </c>
      <c r="L92" s="26" t="n">
        <f aca="false">IF(I91&gt;Supuestos!$C$12,H92*Supuestos!$C$13/12,0)</f>
        <v>0.15778125</v>
      </c>
      <c r="M92" s="26" t="n">
        <f aca="false">D92*Supuestos!$C$14</f>
        <v>0</v>
      </c>
      <c r="N92" s="26" t="n">
        <f aca="false">SUM(J92:M92)</f>
        <v>3.3914</v>
      </c>
      <c r="O92" s="26" t="n">
        <f aca="false">E92+N92</f>
        <v>3.3914</v>
      </c>
    </row>
    <row r="93" customFormat="false" ht="15" hidden="false" customHeight="false" outlineLevel="0" collapsed="false">
      <c r="A93" s="27" t="n">
        <f aca="false">EDATE(A92,1)</f>
        <v>48976</v>
      </c>
      <c r="B93" s="18" t="n">
        <f aca="false">YEAR(A93)*12+MONTH(A93)</f>
        <v>24410</v>
      </c>
      <c r="C93" s="18" t="n">
        <f aca="false">YEAR(A93)</f>
        <v>2034</v>
      </c>
      <c r="D93" s="26" t="n">
        <f aca="false">SUMIF(Supuestos!$I$23:$I$35,B93,Supuestos!$D$23:$D$35)</f>
        <v>0</v>
      </c>
      <c r="E93" s="26" t="n">
        <f aca="false">SUMPRODUCT(Supuestos!$D$23:$D$35*((B93-Supuestos!$I$23:$I$35)&gt;=Supuestos!$C$15)*((B93-Supuestos!$I$23:$I$35)&lt;=Supuestos!$C$16)*(MOD((B93-Supuestos!$I$23:$I$35)-Supuestos!$C$15,6)=0))/Supuestos!$C$17</f>
        <v>0</v>
      </c>
      <c r="F93" s="26" t="n">
        <f aca="false">F92+D93-E93</f>
        <v>972.75</v>
      </c>
      <c r="G93" s="17" t="n">
        <f aca="false">F93/Supuestos!$C$5</f>
        <v>4.05143690129113</v>
      </c>
      <c r="H93" s="26" t="n">
        <f aca="false">MAX(0,F92-Supuestos!$C$18)</f>
        <v>252.45</v>
      </c>
      <c r="I93" s="18" t="n">
        <f aca="false">IF(F93&gt;Supuestos!$C$18,I92+1,0)</f>
        <v>72</v>
      </c>
      <c r="J93" s="26" t="n">
        <f aca="false">F92*Supuestos!$C$19/12</f>
        <v>2.81286875</v>
      </c>
      <c r="K93" s="26" t="n">
        <f aca="false">H93*Supuestos!$C$11/12</f>
        <v>0.420749999999999</v>
      </c>
      <c r="L93" s="26" t="n">
        <f aca="false">IF(I92&gt;Supuestos!$C$12,H93*Supuestos!$C$13/12,0)</f>
        <v>0.15778125</v>
      </c>
      <c r="M93" s="26" t="n">
        <f aca="false">D93*Supuestos!$C$14</f>
        <v>0</v>
      </c>
      <c r="N93" s="26" t="n">
        <f aca="false">SUM(J93:M93)</f>
        <v>3.3914</v>
      </c>
      <c r="O93" s="26" t="n">
        <f aca="false">E93+N93</f>
        <v>3.3914</v>
      </c>
    </row>
    <row r="94" customFormat="false" ht="15" hidden="false" customHeight="false" outlineLevel="0" collapsed="false">
      <c r="A94" s="27" t="n">
        <f aca="false">EDATE(A93,1)</f>
        <v>49004</v>
      </c>
      <c r="B94" s="18" t="n">
        <f aca="false">YEAR(A94)*12+MONTH(A94)</f>
        <v>24411</v>
      </c>
      <c r="C94" s="18" t="n">
        <f aca="false">YEAR(A94)</f>
        <v>2034</v>
      </c>
      <c r="D94" s="26" t="n">
        <f aca="false">SUMIF(Supuestos!$I$23:$I$35,B94,Supuestos!$D$23:$D$35)</f>
        <v>0</v>
      </c>
      <c r="E94" s="26" t="n">
        <f aca="false">SUMPRODUCT(Supuestos!$D$23:$D$35*((B94-Supuestos!$I$23:$I$35)&gt;=Supuestos!$C$15)*((B94-Supuestos!$I$23:$I$35)&lt;=Supuestos!$C$16)*(MOD((B94-Supuestos!$I$23:$I$35)-Supuestos!$C$15,6)=0))/Supuestos!$C$17</f>
        <v>48.0416666666667</v>
      </c>
      <c r="F94" s="26" t="n">
        <f aca="false">F93+D94-E94</f>
        <v>924.708333333333</v>
      </c>
      <c r="G94" s="17" t="n">
        <f aca="false">F94/Supuestos!$C$5</f>
        <v>3.85134666111342</v>
      </c>
      <c r="H94" s="26" t="n">
        <f aca="false">MAX(0,F93-Supuestos!$C$18)</f>
        <v>252.45</v>
      </c>
      <c r="I94" s="18" t="n">
        <f aca="false">IF(F94&gt;Supuestos!$C$18,I93+1,0)</f>
        <v>73</v>
      </c>
      <c r="J94" s="26" t="n">
        <f aca="false">F93*Supuestos!$C$19/12</f>
        <v>2.81286875</v>
      </c>
      <c r="K94" s="26" t="n">
        <f aca="false">H94*Supuestos!$C$11/12</f>
        <v>0.420749999999999</v>
      </c>
      <c r="L94" s="26" t="n">
        <f aca="false">IF(I93&gt;Supuestos!$C$12,H94*Supuestos!$C$13/12,0)</f>
        <v>0.15778125</v>
      </c>
      <c r="M94" s="26" t="n">
        <f aca="false">D94*Supuestos!$C$14</f>
        <v>0</v>
      </c>
      <c r="N94" s="26" t="n">
        <f aca="false">SUM(J94:M94)</f>
        <v>3.3914</v>
      </c>
      <c r="O94" s="26" t="n">
        <f aca="false">E94+N94</f>
        <v>51.4330666666667</v>
      </c>
    </row>
    <row r="95" customFormat="false" ht="15" hidden="false" customHeight="false" outlineLevel="0" collapsed="false">
      <c r="A95" s="27" t="n">
        <f aca="false">EDATE(A94,1)</f>
        <v>49035</v>
      </c>
      <c r="B95" s="18" t="n">
        <f aca="false">YEAR(A95)*12+MONTH(A95)</f>
        <v>24412</v>
      </c>
      <c r="C95" s="18" t="n">
        <f aca="false">YEAR(A95)</f>
        <v>2034</v>
      </c>
      <c r="D95" s="26" t="n">
        <f aca="false">SUMIF(Supuestos!$I$23:$I$35,B95,Supuestos!$D$23:$D$35)</f>
        <v>0</v>
      </c>
      <c r="E95" s="26" t="n">
        <f aca="false">SUMPRODUCT(Supuestos!$D$23:$D$35*((B95-Supuestos!$I$23:$I$35)&gt;=Supuestos!$C$15)*((B95-Supuestos!$I$23:$I$35)&lt;=Supuestos!$C$16)*(MOD((B95-Supuestos!$I$23:$I$35)-Supuestos!$C$15,6)=0))/Supuestos!$C$17</f>
        <v>13.0083333333333</v>
      </c>
      <c r="F95" s="26" t="n">
        <f aca="false">F94+D95-E95</f>
        <v>911.7</v>
      </c>
      <c r="G95" s="17" t="n">
        <f aca="false">F95/Supuestos!$C$5</f>
        <v>3.79716784673053</v>
      </c>
      <c r="H95" s="26" t="n">
        <f aca="false">MAX(0,F94-Supuestos!$C$18)</f>
        <v>204.408333333333</v>
      </c>
      <c r="I95" s="18" t="n">
        <f aca="false">IF(F95&gt;Supuestos!$C$18,I94+1,0)</f>
        <v>74</v>
      </c>
      <c r="J95" s="26" t="n">
        <f aca="false">F94*Supuestos!$C$19/12</f>
        <v>2.67394826388889</v>
      </c>
      <c r="K95" s="26" t="n">
        <f aca="false">H95*Supuestos!$C$11/12</f>
        <v>0.340680555555555</v>
      </c>
      <c r="L95" s="26" t="n">
        <f aca="false">IF(I94&gt;Supuestos!$C$12,H95*Supuestos!$C$13/12,0)</f>
        <v>0.127755208333333</v>
      </c>
      <c r="M95" s="26" t="n">
        <f aca="false">D95*Supuestos!$C$14</f>
        <v>0</v>
      </c>
      <c r="N95" s="26" t="n">
        <f aca="false">SUM(J95:M95)</f>
        <v>3.14238402777778</v>
      </c>
      <c r="O95" s="26" t="n">
        <f aca="false">E95+N95</f>
        <v>16.1507173611111</v>
      </c>
    </row>
    <row r="96" customFormat="false" ht="15" hidden="false" customHeight="false" outlineLevel="0" collapsed="false">
      <c r="A96" s="27" t="n">
        <f aca="false">EDATE(A95,1)</f>
        <v>49065</v>
      </c>
      <c r="B96" s="18" t="n">
        <f aca="false">YEAR(A96)*12+MONTH(A96)</f>
        <v>24413</v>
      </c>
      <c r="C96" s="18" t="n">
        <f aca="false">YEAR(A96)</f>
        <v>2034</v>
      </c>
      <c r="D96" s="26" t="n">
        <f aca="false">SUMIF(Supuestos!$I$23:$I$35,B96,Supuestos!$D$23:$D$35)</f>
        <v>0</v>
      </c>
      <c r="E96" s="26" t="n">
        <f aca="false">SUMPRODUCT(Supuestos!$D$23:$D$35*((B96-Supuestos!$I$23:$I$35)&gt;=Supuestos!$C$15)*((B96-Supuestos!$I$23:$I$35)&lt;=Supuestos!$C$16)*(MOD((B96-Supuestos!$I$23:$I$35)-Supuestos!$C$15,6)=0))/Supuestos!$C$17</f>
        <v>0</v>
      </c>
      <c r="F96" s="26" t="n">
        <f aca="false">F95+D96-E96</f>
        <v>911.7</v>
      </c>
      <c r="G96" s="17" t="n">
        <f aca="false">F96/Supuestos!$C$5</f>
        <v>3.79716784673053</v>
      </c>
      <c r="H96" s="26" t="n">
        <f aca="false">MAX(0,F95-Supuestos!$C$18)</f>
        <v>191.4</v>
      </c>
      <c r="I96" s="18" t="n">
        <f aca="false">IF(F96&gt;Supuestos!$C$18,I95+1,0)</f>
        <v>75</v>
      </c>
      <c r="J96" s="26" t="n">
        <f aca="false">F95*Supuestos!$C$19/12</f>
        <v>2.6363325</v>
      </c>
      <c r="K96" s="26" t="n">
        <f aca="false">H96*Supuestos!$C$11/12</f>
        <v>0.318999999999999</v>
      </c>
      <c r="L96" s="26" t="n">
        <f aca="false">IF(I95&gt;Supuestos!$C$12,H96*Supuestos!$C$13/12,0)</f>
        <v>0.119625</v>
      </c>
      <c r="M96" s="26" t="n">
        <f aca="false">D96*Supuestos!$C$14</f>
        <v>0</v>
      </c>
      <c r="N96" s="26" t="n">
        <f aca="false">SUM(J96:M96)</f>
        <v>3.0749575</v>
      </c>
      <c r="O96" s="26" t="n">
        <f aca="false">E96+N96</f>
        <v>3.0749575</v>
      </c>
    </row>
    <row r="97" customFormat="false" ht="15" hidden="false" customHeight="false" outlineLevel="0" collapsed="false">
      <c r="A97" s="27" t="n">
        <f aca="false">EDATE(A96,1)</f>
        <v>49096</v>
      </c>
      <c r="B97" s="18" t="n">
        <f aca="false">YEAR(A97)*12+MONTH(A97)</f>
        <v>24414</v>
      </c>
      <c r="C97" s="18" t="n">
        <f aca="false">YEAR(A97)</f>
        <v>2034</v>
      </c>
      <c r="D97" s="26" t="n">
        <f aca="false">SUMIF(Supuestos!$I$23:$I$35,B97,Supuestos!$D$23:$D$35)</f>
        <v>0</v>
      </c>
      <c r="E97" s="26" t="n">
        <f aca="false">SUMPRODUCT(Supuestos!$D$23:$D$35*((B97-Supuestos!$I$23:$I$35)&gt;=Supuestos!$C$15)*((B97-Supuestos!$I$23:$I$35)&lt;=Supuestos!$C$16)*(MOD((B97-Supuestos!$I$23:$I$35)-Supuestos!$C$15,6)=0))/Supuestos!$C$17</f>
        <v>53.0333333333333</v>
      </c>
      <c r="F97" s="26" t="n">
        <f aca="false">F96+D97-E97</f>
        <v>858.666666666666</v>
      </c>
      <c r="G97" s="17" t="n">
        <f aca="false">F97/Supuestos!$C$5</f>
        <v>3.57628765792031</v>
      </c>
      <c r="H97" s="26" t="n">
        <f aca="false">MAX(0,F96-Supuestos!$C$18)</f>
        <v>191.4</v>
      </c>
      <c r="I97" s="18" t="n">
        <f aca="false">IF(F97&gt;Supuestos!$C$18,I96+1,0)</f>
        <v>76</v>
      </c>
      <c r="J97" s="26" t="n">
        <f aca="false">F96*Supuestos!$C$19/12</f>
        <v>2.6363325</v>
      </c>
      <c r="K97" s="26" t="n">
        <f aca="false">H97*Supuestos!$C$11/12</f>
        <v>0.318999999999999</v>
      </c>
      <c r="L97" s="26" t="n">
        <f aca="false">IF(I96&gt;Supuestos!$C$12,H97*Supuestos!$C$13/12,0)</f>
        <v>0.119625</v>
      </c>
      <c r="M97" s="26" t="n">
        <f aca="false">D97*Supuestos!$C$14</f>
        <v>0</v>
      </c>
      <c r="N97" s="26" t="n">
        <f aca="false">SUM(J97:M97)</f>
        <v>3.0749575</v>
      </c>
      <c r="O97" s="26" t="n">
        <f aca="false">E97+N97</f>
        <v>56.1082908333333</v>
      </c>
    </row>
    <row r="98" customFormat="false" ht="15" hidden="false" customHeight="false" outlineLevel="0" collapsed="false">
      <c r="A98" s="27" t="n">
        <f aca="false">EDATE(A97,1)</f>
        <v>49126</v>
      </c>
      <c r="B98" s="18" t="n">
        <f aca="false">YEAR(A98)*12+MONTH(A98)</f>
        <v>24415</v>
      </c>
      <c r="C98" s="18" t="n">
        <f aca="false">YEAR(A98)</f>
        <v>2034</v>
      </c>
      <c r="D98" s="26" t="n">
        <f aca="false">SUMIF(Supuestos!$I$23:$I$35,B98,Supuestos!$D$23:$D$35)</f>
        <v>0</v>
      </c>
      <c r="E98" s="26" t="n">
        <f aca="false">SUMPRODUCT(Supuestos!$D$23:$D$35*((B98-Supuestos!$I$23:$I$35)&gt;=Supuestos!$C$15)*((B98-Supuestos!$I$23:$I$35)&lt;=Supuestos!$C$16)*(MOD((B98-Supuestos!$I$23:$I$35)-Supuestos!$C$15,6)=0))/Supuestos!$C$17</f>
        <v>0</v>
      </c>
      <c r="F98" s="26" t="n">
        <f aca="false">F97+D98-E98</f>
        <v>858.666666666666</v>
      </c>
      <c r="G98" s="17" t="n">
        <f aca="false">F98/Supuestos!$C$5</f>
        <v>3.57628765792031</v>
      </c>
      <c r="H98" s="26" t="n">
        <f aca="false">MAX(0,F97-Supuestos!$C$18)</f>
        <v>138.366666666666</v>
      </c>
      <c r="I98" s="18" t="n">
        <f aca="false">IF(F98&gt;Supuestos!$C$18,I97+1,0)</f>
        <v>77</v>
      </c>
      <c r="J98" s="26" t="n">
        <f aca="false">F97*Supuestos!$C$19/12</f>
        <v>2.48297777777778</v>
      </c>
      <c r="K98" s="26" t="n">
        <f aca="false">H98*Supuestos!$C$11/12</f>
        <v>0.230611111111111</v>
      </c>
      <c r="L98" s="26" t="n">
        <f aca="false">IF(I97&gt;Supuestos!$C$12,H98*Supuestos!$C$13/12,0)</f>
        <v>0.0864791666666665</v>
      </c>
      <c r="M98" s="26" t="n">
        <f aca="false">D98*Supuestos!$C$14</f>
        <v>0</v>
      </c>
      <c r="N98" s="26" t="n">
        <f aca="false">SUM(J98:M98)</f>
        <v>2.80006805555555</v>
      </c>
      <c r="O98" s="26" t="n">
        <f aca="false">E98+N98</f>
        <v>2.80006805555555</v>
      </c>
    </row>
    <row r="99" customFormat="false" ht="15" hidden="false" customHeight="false" outlineLevel="0" collapsed="false">
      <c r="A99" s="27" t="n">
        <f aca="false">EDATE(A98,1)</f>
        <v>49157</v>
      </c>
      <c r="B99" s="18" t="n">
        <f aca="false">YEAR(A99)*12+MONTH(A99)</f>
        <v>24416</v>
      </c>
      <c r="C99" s="18" t="n">
        <f aca="false">YEAR(A99)</f>
        <v>2034</v>
      </c>
      <c r="D99" s="26" t="n">
        <f aca="false">SUMIF(Supuestos!$I$23:$I$35,B99,Supuestos!$D$23:$D$35)</f>
        <v>0</v>
      </c>
      <c r="E99" s="26" t="n">
        <f aca="false">SUMPRODUCT(Supuestos!$D$23:$D$35*((B99-Supuestos!$I$23:$I$35)&gt;=Supuestos!$C$15)*((B99-Supuestos!$I$23:$I$35)&lt;=Supuestos!$C$16)*(MOD((B99-Supuestos!$I$23:$I$35)-Supuestos!$C$15,6)=0))/Supuestos!$C$17</f>
        <v>0</v>
      </c>
      <c r="F99" s="26" t="n">
        <f aca="false">F98+D99-E99</f>
        <v>858.666666666666</v>
      </c>
      <c r="G99" s="17" t="n">
        <f aca="false">F99/Supuestos!$C$5</f>
        <v>3.57628765792031</v>
      </c>
      <c r="H99" s="26" t="n">
        <f aca="false">MAX(0,F98-Supuestos!$C$18)</f>
        <v>138.366666666666</v>
      </c>
      <c r="I99" s="18" t="n">
        <f aca="false">IF(F99&gt;Supuestos!$C$18,I98+1,0)</f>
        <v>78</v>
      </c>
      <c r="J99" s="26" t="n">
        <f aca="false">F98*Supuestos!$C$19/12</f>
        <v>2.48297777777778</v>
      </c>
      <c r="K99" s="26" t="n">
        <f aca="false">H99*Supuestos!$C$11/12</f>
        <v>0.230611111111111</v>
      </c>
      <c r="L99" s="26" t="n">
        <f aca="false">IF(I98&gt;Supuestos!$C$12,H99*Supuestos!$C$13/12,0)</f>
        <v>0.0864791666666665</v>
      </c>
      <c r="M99" s="26" t="n">
        <f aca="false">D99*Supuestos!$C$14</f>
        <v>0</v>
      </c>
      <c r="N99" s="26" t="n">
        <f aca="false">SUM(J99:M99)</f>
        <v>2.80006805555555</v>
      </c>
      <c r="O99" s="26" t="n">
        <f aca="false">E99+N99</f>
        <v>2.80006805555555</v>
      </c>
    </row>
    <row r="100" customFormat="false" ht="15" hidden="false" customHeight="false" outlineLevel="0" collapsed="false">
      <c r="A100" s="27" t="n">
        <f aca="false">EDATE(A99,1)</f>
        <v>49188</v>
      </c>
      <c r="B100" s="18" t="n">
        <f aca="false">YEAR(A100)*12+MONTH(A100)</f>
        <v>24417</v>
      </c>
      <c r="C100" s="18" t="n">
        <f aca="false">YEAR(A100)</f>
        <v>2034</v>
      </c>
      <c r="D100" s="26" t="n">
        <f aca="false">SUMIF(Supuestos!$I$23:$I$35,B100,Supuestos!$D$23:$D$35)</f>
        <v>0</v>
      </c>
      <c r="E100" s="26" t="n">
        <f aca="false">SUMPRODUCT(Supuestos!$D$23:$D$35*((B100-Supuestos!$I$23:$I$35)&gt;=Supuestos!$C$15)*((B100-Supuestos!$I$23:$I$35)&lt;=Supuestos!$C$16)*(MOD((B100-Supuestos!$I$23:$I$35)-Supuestos!$C$15,6)=0))/Supuestos!$C$17</f>
        <v>48.0416666666667</v>
      </c>
      <c r="F100" s="26" t="n">
        <f aca="false">F99+D100-E100</f>
        <v>810.625</v>
      </c>
      <c r="G100" s="17" t="n">
        <f aca="false">F100/Supuestos!$C$5</f>
        <v>3.37619741774261</v>
      </c>
      <c r="H100" s="26" t="n">
        <f aca="false">MAX(0,F99-Supuestos!$C$18)</f>
        <v>138.366666666666</v>
      </c>
      <c r="I100" s="18" t="n">
        <f aca="false">IF(F100&gt;Supuestos!$C$18,I99+1,0)</f>
        <v>79</v>
      </c>
      <c r="J100" s="26" t="n">
        <f aca="false">F99*Supuestos!$C$19/12</f>
        <v>2.48297777777778</v>
      </c>
      <c r="K100" s="26" t="n">
        <f aca="false">H100*Supuestos!$C$11/12</f>
        <v>0.230611111111111</v>
      </c>
      <c r="L100" s="26" t="n">
        <f aca="false">IF(I99&gt;Supuestos!$C$12,H100*Supuestos!$C$13/12,0)</f>
        <v>0.0864791666666665</v>
      </c>
      <c r="M100" s="26" t="n">
        <f aca="false">D100*Supuestos!$C$14</f>
        <v>0</v>
      </c>
      <c r="N100" s="26" t="n">
        <f aca="false">SUM(J100:M100)</f>
        <v>2.80006805555555</v>
      </c>
      <c r="O100" s="26" t="n">
        <f aca="false">E100+N100</f>
        <v>50.8417347222222</v>
      </c>
    </row>
    <row r="101" customFormat="false" ht="15" hidden="false" customHeight="false" outlineLevel="0" collapsed="false">
      <c r="A101" s="27" t="n">
        <f aca="false">EDATE(A100,1)</f>
        <v>49218</v>
      </c>
      <c r="B101" s="18" t="n">
        <f aca="false">YEAR(A101)*12+MONTH(A101)</f>
        <v>24418</v>
      </c>
      <c r="C101" s="18" t="n">
        <f aca="false">YEAR(A101)</f>
        <v>2034</v>
      </c>
      <c r="D101" s="26" t="n">
        <f aca="false">SUMIF(Supuestos!$I$23:$I$35,B101,Supuestos!$D$23:$D$35)</f>
        <v>0</v>
      </c>
      <c r="E101" s="26" t="n">
        <f aca="false">SUMPRODUCT(Supuestos!$D$23:$D$35*((B101-Supuestos!$I$23:$I$35)&gt;=Supuestos!$C$15)*((B101-Supuestos!$I$23:$I$35)&lt;=Supuestos!$C$16)*(MOD((B101-Supuestos!$I$23:$I$35)-Supuestos!$C$15,6)=0))/Supuestos!$C$17</f>
        <v>13.0083333333333</v>
      </c>
      <c r="F101" s="26" t="n">
        <f aca="false">F100+D101-E101</f>
        <v>797.616666666666</v>
      </c>
      <c r="G101" s="17" t="n">
        <f aca="false">F101/Supuestos!$C$5</f>
        <v>3.32201860335971</v>
      </c>
      <c r="H101" s="26" t="n">
        <f aca="false">MAX(0,F100-Supuestos!$C$18)</f>
        <v>90.3249999999997</v>
      </c>
      <c r="I101" s="18" t="n">
        <f aca="false">IF(F101&gt;Supuestos!$C$18,I100+1,0)</f>
        <v>80</v>
      </c>
      <c r="J101" s="26" t="n">
        <f aca="false">F100*Supuestos!$C$19/12</f>
        <v>2.34405729166667</v>
      </c>
      <c r="K101" s="26" t="n">
        <f aca="false">H101*Supuestos!$C$11/12</f>
        <v>0.150541666666666</v>
      </c>
      <c r="L101" s="26" t="n">
        <f aca="false">IF(I100&gt;Supuestos!$C$12,H101*Supuestos!$C$13/12,0)</f>
        <v>0.0564531249999998</v>
      </c>
      <c r="M101" s="26" t="n">
        <f aca="false">D101*Supuestos!$C$14</f>
        <v>0</v>
      </c>
      <c r="N101" s="26" t="n">
        <f aca="false">SUM(J101:M101)</f>
        <v>2.55105208333333</v>
      </c>
      <c r="O101" s="26" t="n">
        <f aca="false">E101+N101</f>
        <v>15.5593854166667</v>
      </c>
    </row>
    <row r="102" customFormat="false" ht="15" hidden="false" customHeight="false" outlineLevel="0" collapsed="false">
      <c r="A102" s="27" t="n">
        <f aca="false">EDATE(A101,1)</f>
        <v>49249</v>
      </c>
      <c r="B102" s="18" t="n">
        <f aca="false">YEAR(A102)*12+MONTH(A102)</f>
        <v>24419</v>
      </c>
      <c r="C102" s="18" t="n">
        <f aca="false">YEAR(A102)</f>
        <v>2034</v>
      </c>
      <c r="D102" s="26" t="n">
        <f aca="false">SUMIF(Supuestos!$I$23:$I$35,B102,Supuestos!$D$23:$D$35)</f>
        <v>0</v>
      </c>
      <c r="E102" s="26" t="n">
        <f aca="false">SUMPRODUCT(Supuestos!$D$23:$D$35*((B102-Supuestos!$I$23:$I$35)&gt;=Supuestos!$C$15)*((B102-Supuestos!$I$23:$I$35)&lt;=Supuestos!$C$16)*(MOD((B102-Supuestos!$I$23:$I$35)-Supuestos!$C$15,6)=0))/Supuestos!$C$17</f>
        <v>0</v>
      </c>
      <c r="F102" s="26" t="n">
        <f aca="false">F101+D102-E102</f>
        <v>797.616666666666</v>
      </c>
      <c r="G102" s="17" t="n">
        <f aca="false">F102/Supuestos!$C$5</f>
        <v>3.32201860335971</v>
      </c>
      <c r="H102" s="26" t="n">
        <f aca="false">MAX(0,F101-Supuestos!$C$18)</f>
        <v>77.3166666666664</v>
      </c>
      <c r="I102" s="18" t="n">
        <f aca="false">IF(F102&gt;Supuestos!$C$18,I101+1,0)</f>
        <v>81</v>
      </c>
      <c r="J102" s="26" t="n">
        <f aca="false">F101*Supuestos!$C$19/12</f>
        <v>2.30644152777778</v>
      </c>
      <c r="K102" s="26" t="n">
        <f aca="false">H102*Supuestos!$C$11/12</f>
        <v>0.128861111111111</v>
      </c>
      <c r="L102" s="26" t="n">
        <f aca="false">IF(I101&gt;Supuestos!$C$12,H102*Supuestos!$C$13/12,0)</f>
        <v>0.0483229166666665</v>
      </c>
      <c r="M102" s="26" t="n">
        <f aca="false">D102*Supuestos!$C$14</f>
        <v>0</v>
      </c>
      <c r="N102" s="26" t="n">
        <f aca="false">SUM(J102:M102)</f>
        <v>2.48362555555555</v>
      </c>
      <c r="O102" s="26" t="n">
        <f aca="false">E102+N102</f>
        <v>2.48362555555555</v>
      </c>
    </row>
    <row r="103" customFormat="false" ht="15" hidden="false" customHeight="false" outlineLevel="0" collapsed="false">
      <c r="A103" s="27" t="n">
        <f aca="false">EDATE(A102,1)</f>
        <v>49279</v>
      </c>
      <c r="B103" s="18" t="n">
        <f aca="false">YEAR(A103)*12+MONTH(A103)</f>
        <v>24420</v>
      </c>
      <c r="C103" s="18" t="n">
        <f aca="false">YEAR(A103)</f>
        <v>2034</v>
      </c>
      <c r="D103" s="26" t="n">
        <f aca="false">SUMIF(Supuestos!$I$23:$I$35,B103,Supuestos!$D$23:$D$35)</f>
        <v>0</v>
      </c>
      <c r="E103" s="26" t="n">
        <f aca="false">SUMPRODUCT(Supuestos!$D$23:$D$35*((B103-Supuestos!$I$23:$I$35)&gt;=Supuestos!$C$15)*((B103-Supuestos!$I$23:$I$35)&lt;=Supuestos!$C$16)*(MOD((B103-Supuestos!$I$23:$I$35)-Supuestos!$C$15,6)=0))/Supuestos!$C$17</f>
        <v>53.0333333333333</v>
      </c>
      <c r="F103" s="26" t="n">
        <f aca="false">F102+D103-E103</f>
        <v>744.583333333333</v>
      </c>
      <c r="G103" s="17" t="n">
        <f aca="false">F103/Supuestos!$C$5</f>
        <v>3.10113841454949</v>
      </c>
      <c r="H103" s="26" t="n">
        <f aca="false">MAX(0,F102-Supuestos!$C$18)</f>
        <v>77.3166666666664</v>
      </c>
      <c r="I103" s="18" t="n">
        <f aca="false">IF(F103&gt;Supuestos!$C$18,I102+1,0)</f>
        <v>82</v>
      </c>
      <c r="J103" s="26" t="n">
        <f aca="false">F102*Supuestos!$C$19/12</f>
        <v>2.30644152777778</v>
      </c>
      <c r="K103" s="26" t="n">
        <f aca="false">H103*Supuestos!$C$11/12</f>
        <v>0.128861111111111</v>
      </c>
      <c r="L103" s="26" t="n">
        <f aca="false">IF(I102&gt;Supuestos!$C$12,H103*Supuestos!$C$13/12,0)</f>
        <v>0.0483229166666665</v>
      </c>
      <c r="M103" s="26" t="n">
        <f aca="false">D103*Supuestos!$C$14</f>
        <v>0</v>
      </c>
      <c r="N103" s="26" t="n">
        <f aca="false">SUM(J103:M103)</f>
        <v>2.48362555555555</v>
      </c>
      <c r="O103" s="26" t="n">
        <f aca="false">E103+N103</f>
        <v>55.5169588888889</v>
      </c>
    </row>
    <row r="104" customFormat="false" ht="15" hidden="false" customHeight="false" outlineLevel="0" collapsed="false">
      <c r="A104" s="27" t="n">
        <f aca="false">EDATE(A103,1)</f>
        <v>49310</v>
      </c>
      <c r="B104" s="18" t="n">
        <f aca="false">YEAR(A104)*12+MONTH(A104)</f>
        <v>24421</v>
      </c>
      <c r="C104" s="18" t="n">
        <f aca="false">YEAR(A104)</f>
        <v>2035</v>
      </c>
      <c r="D104" s="26" t="n">
        <f aca="false">SUMIF(Supuestos!$I$23:$I$35,B104,Supuestos!$D$23:$D$35)</f>
        <v>0</v>
      </c>
      <c r="E104" s="26" t="n">
        <f aca="false">SUMPRODUCT(Supuestos!$D$23:$D$35*((B104-Supuestos!$I$23:$I$35)&gt;=Supuestos!$C$15)*((B104-Supuestos!$I$23:$I$35)&lt;=Supuestos!$C$16)*(MOD((B104-Supuestos!$I$23:$I$35)-Supuestos!$C$15,6)=0))/Supuestos!$C$17</f>
        <v>0</v>
      </c>
      <c r="F104" s="26" t="n">
        <f aca="false">F103+D104-E104</f>
        <v>744.583333333333</v>
      </c>
      <c r="G104" s="17" t="n">
        <f aca="false">F104/Supuestos!$C$5</f>
        <v>3.10113841454949</v>
      </c>
      <c r="H104" s="26" t="n">
        <f aca="false">MAX(0,F103-Supuestos!$C$18)</f>
        <v>24.2833333333331</v>
      </c>
      <c r="I104" s="18" t="n">
        <f aca="false">IF(F104&gt;Supuestos!$C$18,I103+1,0)</f>
        <v>83</v>
      </c>
      <c r="J104" s="26" t="n">
        <f aca="false">F103*Supuestos!$C$19/12</f>
        <v>2.15308680555555</v>
      </c>
      <c r="K104" s="26" t="n">
        <f aca="false">H104*Supuestos!$C$11/12</f>
        <v>0.0404722222222218</v>
      </c>
      <c r="L104" s="26" t="n">
        <f aca="false">IF(I103&gt;Supuestos!$C$12,H104*Supuestos!$C$13/12,0)</f>
        <v>0.0151770833333332</v>
      </c>
      <c r="M104" s="26" t="n">
        <f aca="false">D104*Supuestos!$C$14</f>
        <v>0</v>
      </c>
      <c r="N104" s="26" t="n">
        <f aca="false">SUM(J104:M104)</f>
        <v>2.20873611111111</v>
      </c>
      <c r="O104" s="26" t="n">
        <f aca="false">E104+N104</f>
        <v>2.20873611111111</v>
      </c>
    </row>
    <row r="105" customFormat="false" ht="15" hidden="false" customHeight="false" outlineLevel="0" collapsed="false">
      <c r="A105" s="27" t="n">
        <f aca="false">EDATE(A104,1)</f>
        <v>49341</v>
      </c>
      <c r="B105" s="18" t="n">
        <f aca="false">YEAR(A105)*12+MONTH(A105)</f>
        <v>24422</v>
      </c>
      <c r="C105" s="18" t="n">
        <f aca="false">YEAR(A105)</f>
        <v>2035</v>
      </c>
      <c r="D105" s="26" t="n">
        <f aca="false">SUMIF(Supuestos!$I$23:$I$35,B105,Supuestos!$D$23:$D$35)</f>
        <v>0</v>
      </c>
      <c r="E105" s="26" t="n">
        <f aca="false">SUMPRODUCT(Supuestos!$D$23:$D$35*((B105-Supuestos!$I$23:$I$35)&gt;=Supuestos!$C$15)*((B105-Supuestos!$I$23:$I$35)&lt;=Supuestos!$C$16)*(MOD((B105-Supuestos!$I$23:$I$35)-Supuestos!$C$15,6)=0))/Supuestos!$C$17</f>
        <v>0</v>
      </c>
      <c r="F105" s="26" t="n">
        <f aca="false">F104+D105-E105</f>
        <v>744.583333333333</v>
      </c>
      <c r="G105" s="17" t="n">
        <f aca="false">F105/Supuestos!$C$5</f>
        <v>3.10113841454949</v>
      </c>
      <c r="H105" s="26" t="n">
        <f aca="false">MAX(0,F104-Supuestos!$C$18)</f>
        <v>24.2833333333331</v>
      </c>
      <c r="I105" s="18" t="n">
        <f aca="false">IF(F105&gt;Supuestos!$C$18,I104+1,0)</f>
        <v>84</v>
      </c>
      <c r="J105" s="26" t="n">
        <f aca="false">F104*Supuestos!$C$19/12</f>
        <v>2.15308680555555</v>
      </c>
      <c r="K105" s="26" t="n">
        <f aca="false">H105*Supuestos!$C$11/12</f>
        <v>0.0404722222222218</v>
      </c>
      <c r="L105" s="26" t="n">
        <f aca="false">IF(I104&gt;Supuestos!$C$12,H105*Supuestos!$C$13/12,0)</f>
        <v>0.0151770833333332</v>
      </c>
      <c r="M105" s="26" t="n">
        <f aca="false">D105*Supuestos!$C$14</f>
        <v>0</v>
      </c>
      <c r="N105" s="26" t="n">
        <f aca="false">SUM(J105:M105)</f>
        <v>2.20873611111111</v>
      </c>
      <c r="O105" s="26" t="n">
        <f aca="false">E105+N105</f>
        <v>2.20873611111111</v>
      </c>
    </row>
    <row r="106" customFormat="false" ht="15" hidden="false" customHeight="false" outlineLevel="0" collapsed="false">
      <c r="A106" s="27" t="n">
        <f aca="false">EDATE(A105,1)</f>
        <v>49369</v>
      </c>
      <c r="B106" s="18" t="n">
        <f aca="false">YEAR(A106)*12+MONTH(A106)</f>
        <v>24423</v>
      </c>
      <c r="C106" s="18" t="n">
        <f aca="false">YEAR(A106)</f>
        <v>2035</v>
      </c>
      <c r="D106" s="26" t="n">
        <f aca="false">SUMIF(Supuestos!$I$23:$I$35,B106,Supuestos!$D$23:$D$35)</f>
        <v>0</v>
      </c>
      <c r="E106" s="26" t="n">
        <f aca="false">SUMPRODUCT(Supuestos!$D$23:$D$35*((B106-Supuestos!$I$23:$I$35)&gt;=Supuestos!$C$15)*((B106-Supuestos!$I$23:$I$35)&lt;=Supuestos!$C$16)*(MOD((B106-Supuestos!$I$23:$I$35)-Supuestos!$C$15,6)=0))/Supuestos!$C$17</f>
        <v>48.0416666666667</v>
      </c>
      <c r="F106" s="26" t="n">
        <f aca="false">F105+D106-E106</f>
        <v>696.541666666666</v>
      </c>
      <c r="G106" s="17" t="n">
        <f aca="false">F106/Supuestos!$C$5</f>
        <v>2.90104817437179</v>
      </c>
      <c r="H106" s="26" t="n">
        <f aca="false">MAX(0,F105-Supuestos!$C$18)</f>
        <v>24.2833333333331</v>
      </c>
      <c r="I106" s="18" t="n">
        <f aca="false">IF(F106&gt;Supuestos!$C$18,I105+1,0)</f>
        <v>0</v>
      </c>
      <c r="J106" s="26" t="n">
        <f aca="false">F105*Supuestos!$C$19/12</f>
        <v>2.15308680555555</v>
      </c>
      <c r="K106" s="26" t="n">
        <f aca="false">H106*Supuestos!$C$11/12</f>
        <v>0.0404722222222218</v>
      </c>
      <c r="L106" s="26" t="n">
        <f aca="false">IF(I105&gt;Supuestos!$C$12,H106*Supuestos!$C$13/12,0)</f>
        <v>0.0151770833333332</v>
      </c>
      <c r="M106" s="26" t="n">
        <f aca="false">D106*Supuestos!$C$14</f>
        <v>0</v>
      </c>
      <c r="N106" s="26" t="n">
        <f aca="false">SUM(J106:M106)</f>
        <v>2.20873611111111</v>
      </c>
      <c r="O106" s="26" t="n">
        <f aca="false">E106+N106</f>
        <v>50.2504027777778</v>
      </c>
    </row>
    <row r="107" customFormat="false" ht="15" hidden="false" customHeight="false" outlineLevel="0" collapsed="false">
      <c r="A107" s="27" t="n">
        <f aca="false">EDATE(A106,1)</f>
        <v>49400</v>
      </c>
      <c r="B107" s="18" t="n">
        <f aca="false">YEAR(A107)*12+MONTH(A107)</f>
        <v>24424</v>
      </c>
      <c r="C107" s="18" t="n">
        <f aca="false">YEAR(A107)</f>
        <v>2035</v>
      </c>
      <c r="D107" s="26" t="n">
        <f aca="false">SUMIF(Supuestos!$I$23:$I$35,B107,Supuestos!$D$23:$D$35)</f>
        <v>0</v>
      </c>
      <c r="E107" s="26" t="n">
        <f aca="false">SUMPRODUCT(Supuestos!$D$23:$D$35*((B107-Supuestos!$I$23:$I$35)&gt;=Supuestos!$C$15)*((B107-Supuestos!$I$23:$I$35)&lt;=Supuestos!$C$16)*(MOD((B107-Supuestos!$I$23:$I$35)-Supuestos!$C$15,6)=0))/Supuestos!$C$17</f>
        <v>13.0083333333333</v>
      </c>
      <c r="F107" s="26" t="n">
        <f aca="false">F106+D107-E107</f>
        <v>683.533333333333</v>
      </c>
      <c r="G107" s="17" t="n">
        <f aca="false">F107/Supuestos!$C$5</f>
        <v>2.84686935998889</v>
      </c>
      <c r="H107" s="26" t="n">
        <f aca="false">MAX(0,F106-Supuestos!$C$18)</f>
        <v>0</v>
      </c>
      <c r="I107" s="18" t="n">
        <f aca="false">IF(F107&gt;Supuestos!$C$18,I106+1,0)</f>
        <v>0</v>
      </c>
      <c r="J107" s="26" t="n">
        <f aca="false">F106*Supuestos!$C$19/12</f>
        <v>2.01416631944444</v>
      </c>
      <c r="K107" s="26" t="n">
        <f aca="false">H107*Supuestos!$C$11/12</f>
        <v>0</v>
      </c>
      <c r="L107" s="26" t="n">
        <f aca="false">IF(I106&gt;Supuestos!$C$12,H107*Supuestos!$C$13/12,0)</f>
        <v>0</v>
      </c>
      <c r="M107" s="26" t="n">
        <f aca="false">D107*Supuestos!$C$14</f>
        <v>0</v>
      </c>
      <c r="N107" s="26" t="n">
        <f aca="false">SUM(J107:M107)</f>
        <v>2.01416631944444</v>
      </c>
      <c r="O107" s="26" t="n">
        <f aca="false">E107+N107</f>
        <v>15.0224996527778</v>
      </c>
    </row>
    <row r="108" customFormat="false" ht="15" hidden="false" customHeight="false" outlineLevel="0" collapsed="false">
      <c r="A108" s="27" t="n">
        <f aca="false">EDATE(A107,1)</f>
        <v>49430</v>
      </c>
      <c r="B108" s="18" t="n">
        <f aca="false">YEAR(A108)*12+MONTH(A108)</f>
        <v>24425</v>
      </c>
      <c r="C108" s="18" t="n">
        <f aca="false">YEAR(A108)</f>
        <v>2035</v>
      </c>
      <c r="D108" s="26" t="n">
        <f aca="false">SUMIF(Supuestos!$I$23:$I$35,B108,Supuestos!$D$23:$D$35)</f>
        <v>0</v>
      </c>
      <c r="E108" s="26" t="n">
        <f aca="false">SUMPRODUCT(Supuestos!$D$23:$D$35*((B108-Supuestos!$I$23:$I$35)&gt;=Supuestos!$C$15)*((B108-Supuestos!$I$23:$I$35)&lt;=Supuestos!$C$16)*(MOD((B108-Supuestos!$I$23:$I$35)-Supuestos!$C$15,6)=0))/Supuestos!$C$17</f>
        <v>0</v>
      </c>
      <c r="F108" s="26" t="n">
        <f aca="false">F107+D108-E108</f>
        <v>683.533333333333</v>
      </c>
      <c r="G108" s="17" t="n">
        <f aca="false">F108/Supuestos!$C$5</f>
        <v>2.84686935998889</v>
      </c>
      <c r="H108" s="26" t="n">
        <f aca="false">MAX(0,F107-Supuestos!$C$18)</f>
        <v>0</v>
      </c>
      <c r="I108" s="18" t="n">
        <f aca="false">IF(F108&gt;Supuestos!$C$18,I107+1,0)</f>
        <v>0</v>
      </c>
      <c r="J108" s="26" t="n">
        <f aca="false">F107*Supuestos!$C$19/12</f>
        <v>1.97655055555556</v>
      </c>
      <c r="K108" s="26" t="n">
        <f aca="false">H108*Supuestos!$C$11/12</f>
        <v>0</v>
      </c>
      <c r="L108" s="26" t="n">
        <f aca="false">IF(I107&gt;Supuestos!$C$12,H108*Supuestos!$C$13/12,0)</f>
        <v>0</v>
      </c>
      <c r="M108" s="26" t="n">
        <f aca="false">D108*Supuestos!$C$14</f>
        <v>0</v>
      </c>
      <c r="N108" s="26" t="n">
        <f aca="false">SUM(J108:M108)</f>
        <v>1.97655055555556</v>
      </c>
      <c r="O108" s="26" t="n">
        <f aca="false">E108+N108</f>
        <v>1.97655055555556</v>
      </c>
    </row>
    <row r="109" customFormat="false" ht="15" hidden="false" customHeight="false" outlineLevel="0" collapsed="false">
      <c r="A109" s="27" t="n">
        <f aca="false">EDATE(A108,1)</f>
        <v>49461</v>
      </c>
      <c r="B109" s="18" t="n">
        <f aca="false">YEAR(A109)*12+MONTH(A109)</f>
        <v>24426</v>
      </c>
      <c r="C109" s="18" t="n">
        <f aca="false">YEAR(A109)</f>
        <v>2035</v>
      </c>
      <c r="D109" s="26" t="n">
        <f aca="false">SUMIF(Supuestos!$I$23:$I$35,B109,Supuestos!$D$23:$D$35)</f>
        <v>0</v>
      </c>
      <c r="E109" s="26" t="n">
        <f aca="false">SUMPRODUCT(Supuestos!$D$23:$D$35*((B109-Supuestos!$I$23:$I$35)&gt;=Supuestos!$C$15)*((B109-Supuestos!$I$23:$I$35)&lt;=Supuestos!$C$16)*(MOD((B109-Supuestos!$I$23:$I$35)-Supuestos!$C$15,6)=0))/Supuestos!$C$17</f>
        <v>53.0333333333333</v>
      </c>
      <c r="F109" s="26" t="n">
        <f aca="false">F108+D109-E109</f>
        <v>630.5</v>
      </c>
      <c r="G109" s="17" t="n">
        <f aca="false">F109/Supuestos!$C$5</f>
        <v>2.62598917117867</v>
      </c>
      <c r="H109" s="26" t="n">
        <f aca="false">MAX(0,F108-Supuestos!$C$18)</f>
        <v>0</v>
      </c>
      <c r="I109" s="18" t="n">
        <f aca="false">IF(F109&gt;Supuestos!$C$18,I108+1,0)</f>
        <v>0</v>
      </c>
      <c r="J109" s="26" t="n">
        <f aca="false">F108*Supuestos!$C$19/12</f>
        <v>1.97655055555556</v>
      </c>
      <c r="K109" s="26" t="n">
        <f aca="false">H109*Supuestos!$C$11/12</f>
        <v>0</v>
      </c>
      <c r="L109" s="26" t="n">
        <f aca="false">IF(I108&gt;Supuestos!$C$12,H109*Supuestos!$C$13/12,0)</f>
        <v>0</v>
      </c>
      <c r="M109" s="26" t="n">
        <f aca="false">D109*Supuestos!$C$14</f>
        <v>0</v>
      </c>
      <c r="N109" s="26" t="n">
        <f aca="false">SUM(J109:M109)</f>
        <v>1.97655055555556</v>
      </c>
      <c r="O109" s="26" t="n">
        <f aca="false">E109+N109</f>
        <v>55.0098838888889</v>
      </c>
    </row>
    <row r="110" customFormat="false" ht="15" hidden="false" customHeight="false" outlineLevel="0" collapsed="false">
      <c r="A110" s="27" t="n">
        <f aca="false">EDATE(A109,1)</f>
        <v>49491</v>
      </c>
      <c r="B110" s="18" t="n">
        <f aca="false">YEAR(A110)*12+MONTH(A110)</f>
        <v>24427</v>
      </c>
      <c r="C110" s="18" t="n">
        <f aca="false">YEAR(A110)</f>
        <v>2035</v>
      </c>
      <c r="D110" s="26" t="n">
        <f aca="false">SUMIF(Supuestos!$I$23:$I$35,B110,Supuestos!$D$23:$D$35)</f>
        <v>0</v>
      </c>
      <c r="E110" s="26" t="n">
        <f aca="false">SUMPRODUCT(Supuestos!$D$23:$D$35*((B110-Supuestos!$I$23:$I$35)&gt;=Supuestos!$C$15)*((B110-Supuestos!$I$23:$I$35)&lt;=Supuestos!$C$16)*(MOD((B110-Supuestos!$I$23:$I$35)-Supuestos!$C$15,6)=0))/Supuestos!$C$17</f>
        <v>0</v>
      </c>
      <c r="F110" s="26" t="n">
        <f aca="false">F109+D110-E110</f>
        <v>630.5</v>
      </c>
      <c r="G110" s="17" t="n">
        <f aca="false">F110/Supuestos!$C$5</f>
        <v>2.62598917117867</v>
      </c>
      <c r="H110" s="26" t="n">
        <f aca="false">MAX(0,F109-Supuestos!$C$18)</f>
        <v>0</v>
      </c>
      <c r="I110" s="18" t="n">
        <f aca="false">IF(F110&gt;Supuestos!$C$18,I109+1,0)</f>
        <v>0</v>
      </c>
      <c r="J110" s="26" t="n">
        <f aca="false">F109*Supuestos!$C$19/12</f>
        <v>1.82319583333333</v>
      </c>
      <c r="K110" s="26" t="n">
        <f aca="false">H110*Supuestos!$C$11/12</f>
        <v>0</v>
      </c>
      <c r="L110" s="26" t="n">
        <f aca="false">IF(I109&gt;Supuestos!$C$12,H110*Supuestos!$C$13/12,0)</f>
        <v>0</v>
      </c>
      <c r="M110" s="26" t="n">
        <f aca="false">D110*Supuestos!$C$14</f>
        <v>0</v>
      </c>
      <c r="N110" s="26" t="n">
        <f aca="false">SUM(J110:M110)</f>
        <v>1.82319583333333</v>
      </c>
      <c r="O110" s="26" t="n">
        <f aca="false">E110+N110</f>
        <v>1.82319583333333</v>
      </c>
    </row>
    <row r="111" customFormat="false" ht="15" hidden="false" customHeight="false" outlineLevel="0" collapsed="false">
      <c r="A111" s="27" t="n">
        <f aca="false">EDATE(A110,1)</f>
        <v>49522</v>
      </c>
      <c r="B111" s="18" t="n">
        <f aca="false">YEAR(A111)*12+MONTH(A111)</f>
        <v>24428</v>
      </c>
      <c r="C111" s="18" t="n">
        <f aca="false">YEAR(A111)</f>
        <v>2035</v>
      </c>
      <c r="D111" s="26" t="n">
        <f aca="false">SUMIF(Supuestos!$I$23:$I$35,B111,Supuestos!$D$23:$D$35)</f>
        <v>0</v>
      </c>
      <c r="E111" s="26" t="n">
        <f aca="false">SUMPRODUCT(Supuestos!$D$23:$D$35*((B111-Supuestos!$I$23:$I$35)&gt;=Supuestos!$C$15)*((B111-Supuestos!$I$23:$I$35)&lt;=Supuestos!$C$16)*(MOD((B111-Supuestos!$I$23:$I$35)-Supuestos!$C$15,6)=0))/Supuestos!$C$17</f>
        <v>0</v>
      </c>
      <c r="F111" s="26" t="n">
        <f aca="false">F110+D111-E111</f>
        <v>630.5</v>
      </c>
      <c r="G111" s="17" t="n">
        <f aca="false">F111/Supuestos!$C$5</f>
        <v>2.62598917117867</v>
      </c>
      <c r="H111" s="26" t="n">
        <f aca="false">MAX(0,F110-Supuestos!$C$18)</f>
        <v>0</v>
      </c>
      <c r="I111" s="18" t="n">
        <f aca="false">IF(F111&gt;Supuestos!$C$18,I110+1,0)</f>
        <v>0</v>
      </c>
      <c r="J111" s="26" t="n">
        <f aca="false">F110*Supuestos!$C$19/12</f>
        <v>1.82319583333333</v>
      </c>
      <c r="K111" s="26" t="n">
        <f aca="false">H111*Supuestos!$C$11/12</f>
        <v>0</v>
      </c>
      <c r="L111" s="26" t="n">
        <f aca="false">IF(I110&gt;Supuestos!$C$12,H111*Supuestos!$C$13/12,0)</f>
        <v>0</v>
      </c>
      <c r="M111" s="26" t="n">
        <f aca="false">D111*Supuestos!$C$14</f>
        <v>0</v>
      </c>
      <c r="N111" s="26" t="n">
        <f aca="false">SUM(J111:M111)</f>
        <v>1.82319583333333</v>
      </c>
      <c r="O111" s="26" t="n">
        <f aca="false">E111+N111</f>
        <v>1.82319583333333</v>
      </c>
    </row>
    <row r="112" customFormat="false" ht="15" hidden="false" customHeight="false" outlineLevel="0" collapsed="false">
      <c r="A112" s="27" t="n">
        <f aca="false">EDATE(A111,1)</f>
        <v>49553</v>
      </c>
      <c r="B112" s="18" t="n">
        <f aca="false">YEAR(A112)*12+MONTH(A112)</f>
        <v>24429</v>
      </c>
      <c r="C112" s="18" t="n">
        <f aca="false">YEAR(A112)</f>
        <v>2035</v>
      </c>
      <c r="D112" s="26" t="n">
        <f aca="false">SUMIF(Supuestos!$I$23:$I$35,B112,Supuestos!$D$23:$D$35)</f>
        <v>0</v>
      </c>
      <c r="E112" s="26" t="n">
        <f aca="false">SUMPRODUCT(Supuestos!$D$23:$D$35*((B112-Supuestos!$I$23:$I$35)&gt;=Supuestos!$C$15)*((B112-Supuestos!$I$23:$I$35)&lt;=Supuestos!$C$16)*(MOD((B112-Supuestos!$I$23:$I$35)-Supuestos!$C$15,6)=0))/Supuestos!$C$17</f>
        <v>48.0416666666667</v>
      </c>
      <c r="F112" s="26" t="n">
        <f aca="false">F111+D112-E112</f>
        <v>582.458333333333</v>
      </c>
      <c r="G112" s="17" t="n">
        <f aca="false">F112/Supuestos!$C$5</f>
        <v>2.42589893100097</v>
      </c>
      <c r="H112" s="26" t="n">
        <f aca="false">MAX(0,F111-Supuestos!$C$18)</f>
        <v>0</v>
      </c>
      <c r="I112" s="18" t="n">
        <f aca="false">IF(F112&gt;Supuestos!$C$18,I111+1,0)</f>
        <v>0</v>
      </c>
      <c r="J112" s="26" t="n">
        <f aca="false">F111*Supuestos!$C$19/12</f>
        <v>1.82319583333333</v>
      </c>
      <c r="K112" s="26" t="n">
        <f aca="false">H112*Supuestos!$C$11/12</f>
        <v>0</v>
      </c>
      <c r="L112" s="26" t="n">
        <f aca="false">IF(I111&gt;Supuestos!$C$12,H112*Supuestos!$C$13/12,0)</f>
        <v>0</v>
      </c>
      <c r="M112" s="26" t="n">
        <f aca="false">D112*Supuestos!$C$14</f>
        <v>0</v>
      </c>
      <c r="N112" s="26" t="n">
        <f aca="false">SUM(J112:M112)</f>
        <v>1.82319583333333</v>
      </c>
      <c r="O112" s="26" t="n">
        <f aca="false">E112+N112</f>
        <v>49.8648625</v>
      </c>
    </row>
    <row r="113" customFormat="false" ht="15" hidden="false" customHeight="false" outlineLevel="0" collapsed="false">
      <c r="A113" s="27" t="n">
        <f aca="false">EDATE(A112,1)</f>
        <v>49583</v>
      </c>
      <c r="B113" s="18" t="n">
        <f aca="false">YEAR(A113)*12+MONTH(A113)</f>
        <v>24430</v>
      </c>
      <c r="C113" s="18" t="n">
        <f aca="false">YEAR(A113)</f>
        <v>2035</v>
      </c>
      <c r="D113" s="26" t="n">
        <f aca="false">SUMIF(Supuestos!$I$23:$I$35,B113,Supuestos!$D$23:$D$35)</f>
        <v>0</v>
      </c>
      <c r="E113" s="26" t="n">
        <f aca="false">SUMPRODUCT(Supuestos!$D$23:$D$35*((B113-Supuestos!$I$23:$I$35)&gt;=Supuestos!$C$15)*((B113-Supuestos!$I$23:$I$35)&lt;=Supuestos!$C$16)*(MOD((B113-Supuestos!$I$23:$I$35)-Supuestos!$C$15,6)=0))/Supuestos!$C$17</f>
        <v>13.0083333333333</v>
      </c>
      <c r="F113" s="26" t="n">
        <f aca="false">F112+D113-E113</f>
        <v>569.45</v>
      </c>
      <c r="G113" s="17" t="n">
        <f aca="false">F113/Supuestos!$C$5</f>
        <v>2.37172011661808</v>
      </c>
      <c r="H113" s="26" t="n">
        <f aca="false">MAX(0,F112-Supuestos!$C$18)</f>
        <v>0</v>
      </c>
      <c r="I113" s="18" t="n">
        <f aca="false">IF(F113&gt;Supuestos!$C$18,I112+1,0)</f>
        <v>0</v>
      </c>
      <c r="J113" s="26" t="n">
        <f aca="false">F112*Supuestos!$C$19/12</f>
        <v>1.68427534722222</v>
      </c>
      <c r="K113" s="26" t="n">
        <f aca="false">H113*Supuestos!$C$11/12</f>
        <v>0</v>
      </c>
      <c r="L113" s="26" t="n">
        <f aca="false">IF(I112&gt;Supuestos!$C$12,H113*Supuestos!$C$13/12,0)</f>
        <v>0</v>
      </c>
      <c r="M113" s="26" t="n">
        <f aca="false">D113*Supuestos!$C$14</f>
        <v>0</v>
      </c>
      <c r="N113" s="26" t="n">
        <f aca="false">SUM(J113:M113)</f>
        <v>1.68427534722222</v>
      </c>
      <c r="O113" s="26" t="n">
        <f aca="false">E113+N113</f>
        <v>14.6926086805556</v>
      </c>
    </row>
    <row r="114" customFormat="false" ht="15" hidden="false" customHeight="false" outlineLevel="0" collapsed="false">
      <c r="A114" s="27" t="n">
        <f aca="false">EDATE(A113,1)</f>
        <v>49614</v>
      </c>
      <c r="B114" s="18" t="n">
        <f aca="false">YEAR(A114)*12+MONTH(A114)</f>
        <v>24431</v>
      </c>
      <c r="C114" s="18" t="n">
        <f aca="false">YEAR(A114)</f>
        <v>2035</v>
      </c>
      <c r="D114" s="26" t="n">
        <f aca="false">SUMIF(Supuestos!$I$23:$I$35,B114,Supuestos!$D$23:$D$35)</f>
        <v>0</v>
      </c>
      <c r="E114" s="26" t="n">
        <f aca="false">SUMPRODUCT(Supuestos!$D$23:$D$35*((B114-Supuestos!$I$23:$I$35)&gt;=Supuestos!$C$15)*((B114-Supuestos!$I$23:$I$35)&lt;=Supuestos!$C$16)*(MOD((B114-Supuestos!$I$23:$I$35)-Supuestos!$C$15,6)=0))/Supuestos!$C$17</f>
        <v>0</v>
      </c>
      <c r="F114" s="26" t="n">
        <f aca="false">F113+D114-E114</f>
        <v>569.45</v>
      </c>
      <c r="G114" s="17" t="n">
        <f aca="false">F114/Supuestos!$C$5</f>
        <v>2.37172011661808</v>
      </c>
      <c r="H114" s="26" t="n">
        <f aca="false">MAX(0,F113-Supuestos!$C$18)</f>
        <v>0</v>
      </c>
      <c r="I114" s="18" t="n">
        <f aca="false">IF(F114&gt;Supuestos!$C$18,I113+1,0)</f>
        <v>0</v>
      </c>
      <c r="J114" s="26" t="n">
        <f aca="false">F113*Supuestos!$C$19/12</f>
        <v>1.64665958333333</v>
      </c>
      <c r="K114" s="26" t="n">
        <f aca="false">H114*Supuestos!$C$11/12</f>
        <v>0</v>
      </c>
      <c r="L114" s="26" t="n">
        <f aca="false">IF(I113&gt;Supuestos!$C$12,H114*Supuestos!$C$13/12,0)</f>
        <v>0</v>
      </c>
      <c r="M114" s="26" t="n">
        <f aca="false">D114*Supuestos!$C$14</f>
        <v>0</v>
      </c>
      <c r="N114" s="26" t="n">
        <f aca="false">SUM(J114:M114)</f>
        <v>1.64665958333333</v>
      </c>
      <c r="O114" s="26" t="n">
        <f aca="false">E114+N114</f>
        <v>1.64665958333333</v>
      </c>
    </row>
    <row r="115" customFormat="false" ht="15" hidden="false" customHeight="false" outlineLevel="0" collapsed="false">
      <c r="A115" s="27" t="n">
        <f aca="false">EDATE(A114,1)</f>
        <v>49644</v>
      </c>
      <c r="B115" s="18" t="n">
        <f aca="false">YEAR(A115)*12+MONTH(A115)</f>
        <v>24432</v>
      </c>
      <c r="C115" s="18" t="n">
        <f aca="false">YEAR(A115)</f>
        <v>2035</v>
      </c>
      <c r="D115" s="26" t="n">
        <f aca="false">SUMIF(Supuestos!$I$23:$I$35,B115,Supuestos!$D$23:$D$35)</f>
        <v>0</v>
      </c>
      <c r="E115" s="26" t="n">
        <f aca="false">SUMPRODUCT(Supuestos!$D$23:$D$35*((B115-Supuestos!$I$23:$I$35)&gt;=Supuestos!$C$15)*((B115-Supuestos!$I$23:$I$35)&lt;=Supuestos!$C$16)*(MOD((B115-Supuestos!$I$23:$I$35)-Supuestos!$C$15,6)=0))/Supuestos!$C$17</f>
        <v>53.0333333333333</v>
      </c>
      <c r="F115" s="26" t="n">
        <f aca="false">F114+D115-E115</f>
        <v>516.416666666667</v>
      </c>
      <c r="G115" s="17" t="n">
        <f aca="false">F115/Supuestos!$C$5</f>
        <v>2.15083992780786</v>
      </c>
      <c r="H115" s="26" t="n">
        <f aca="false">MAX(0,F114-Supuestos!$C$18)</f>
        <v>0</v>
      </c>
      <c r="I115" s="18" t="n">
        <f aca="false">IF(F115&gt;Supuestos!$C$18,I114+1,0)</f>
        <v>0</v>
      </c>
      <c r="J115" s="26" t="n">
        <f aca="false">F114*Supuestos!$C$19/12</f>
        <v>1.64665958333333</v>
      </c>
      <c r="K115" s="26" t="n">
        <f aca="false">H115*Supuestos!$C$11/12</f>
        <v>0</v>
      </c>
      <c r="L115" s="26" t="n">
        <f aca="false">IF(I114&gt;Supuestos!$C$12,H115*Supuestos!$C$13/12,0)</f>
        <v>0</v>
      </c>
      <c r="M115" s="26" t="n">
        <f aca="false">D115*Supuestos!$C$14</f>
        <v>0</v>
      </c>
      <c r="N115" s="26" t="n">
        <f aca="false">SUM(J115:M115)</f>
        <v>1.64665958333333</v>
      </c>
      <c r="O115" s="26" t="n">
        <f aca="false">E115+N115</f>
        <v>54.6799929166667</v>
      </c>
    </row>
    <row r="116" customFormat="false" ht="15" hidden="false" customHeight="false" outlineLevel="0" collapsed="false">
      <c r="A116" s="27" t="n">
        <f aca="false">EDATE(A115,1)</f>
        <v>49675</v>
      </c>
      <c r="B116" s="18" t="n">
        <f aca="false">YEAR(A116)*12+MONTH(A116)</f>
        <v>24433</v>
      </c>
      <c r="C116" s="18" t="n">
        <f aca="false">YEAR(A116)</f>
        <v>2036</v>
      </c>
      <c r="D116" s="26" t="n">
        <f aca="false">SUMIF(Supuestos!$I$23:$I$35,B116,Supuestos!$D$23:$D$35)</f>
        <v>0</v>
      </c>
      <c r="E116" s="26" t="n">
        <f aca="false">SUMPRODUCT(Supuestos!$D$23:$D$35*((B116-Supuestos!$I$23:$I$35)&gt;=Supuestos!$C$15)*((B116-Supuestos!$I$23:$I$35)&lt;=Supuestos!$C$16)*(MOD((B116-Supuestos!$I$23:$I$35)-Supuestos!$C$15,6)=0))/Supuestos!$C$17</f>
        <v>0</v>
      </c>
      <c r="F116" s="26" t="n">
        <f aca="false">F115+D116-E116</f>
        <v>516.416666666667</v>
      </c>
      <c r="G116" s="17" t="n">
        <f aca="false">F116/Supuestos!$C$5</f>
        <v>2.15083992780786</v>
      </c>
      <c r="H116" s="26" t="n">
        <f aca="false">MAX(0,F115-Supuestos!$C$18)</f>
        <v>0</v>
      </c>
      <c r="I116" s="18" t="n">
        <f aca="false">IF(F116&gt;Supuestos!$C$18,I115+1,0)</f>
        <v>0</v>
      </c>
      <c r="J116" s="26" t="n">
        <f aca="false">F115*Supuestos!$C$19/12</f>
        <v>1.49330486111111</v>
      </c>
      <c r="K116" s="26" t="n">
        <f aca="false">H116*Supuestos!$C$11/12</f>
        <v>0</v>
      </c>
      <c r="L116" s="26" t="n">
        <f aca="false">IF(I115&gt;Supuestos!$C$12,H116*Supuestos!$C$13/12,0)</f>
        <v>0</v>
      </c>
      <c r="M116" s="26" t="n">
        <f aca="false">D116*Supuestos!$C$14</f>
        <v>0</v>
      </c>
      <c r="N116" s="26" t="n">
        <f aca="false">SUM(J116:M116)</f>
        <v>1.49330486111111</v>
      </c>
      <c r="O116" s="26" t="n">
        <f aca="false">E116+N116</f>
        <v>1.49330486111111</v>
      </c>
    </row>
    <row r="117" customFormat="false" ht="15" hidden="false" customHeight="false" outlineLevel="0" collapsed="false">
      <c r="A117" s="27" t="n">
        <f aca="false">EDATE(A116,1)</f>
        <v>49706</v>
      </c>
      <c r="B117" s="18" t="n">
        <f aca="false">YEAR(A117)*12+MONTH(A117)</f>
        <v>24434</v>
      </c>
      <c r="C117" s="18" t="n">
        <f aca="false">YEAR(A117)</f>
        <v>2036</v>
      </c>
      <c r="D117" s="26" t="n">
        <f aca="false">SUMIF(Supuestos!$I$23:$I$35,B117,Supuestos!$D$23:$D$35)</f>
        <v>0</v>
      </c>
      <c r="E117" s="26" t="n">
        <f aca="false">SUMPRODUCT(Supuestos!$D$23:$D$35*((B117-Supuestos!$I$23:$I$35)&gt;=Supuestos!$C$15)*((B117-Supuestos!$I$23:$I$35)&lt;=Supuestos!$C$16)*(MOD((B117-Supuestos!$I$23:$I$35)-Supuestos!$C$15,6)=0))/Supuestos!$C$17</f>
        <v>0</v>
      </c>
      <c r="F117" s="26" t="n">
        <f aca="false">F116+D117-E117</f>
        <v>516.416666666667</v>
      </c>
      <c r="G117" s="17" t="n">
        <f aca="false">F117/Supuestos!$C$5</f>
        <v>2.15083992780786</v>
      </c>
      <c r="H117" s="26" t="n">
        <f aca="false">MAX(0,F116-Supuestos!$C$18)</f>
        <v>0</v>
      </c>
      <c r="I117" s="18" t="n">
        <f aca="false">IF(F117&gt;Supuestos!$C$18,I116+1,0)</f>
        <v>0</v>
      </c>
      <c r="J117" s="26" t="n">
        <f aca="false">F116*Supuestos!$C$19/12</f>
        <v>1.49330486111111</v>
      </c>
      <c r="K117" s="26" t="n">
        <f aca="false">H117*Supuestos!$C$11/12</f>
        <v>0</v>
      </c>
      <c r="L117" s="26" t="n">
        <f aca="false">IF(I116&gt;Supuestos!$C$12,H117*Supuestos!$C$13/12,0)</f>
        <v>0</v>
      </c>
      <c r="M117" s="26" t="n">
        <f aca="false">D117*Supuestos!$C$14</f>
        <v>0</v>
      </c>
      <c r="N117" s="26" t="n">
        <f aca="false">SUM(J117:M117)</f>
        <v>1.49330486111111</v>
      </c>
      <c r="O117" s="26" t="n">
        <f aca="false">E117+N117</f>
        <v>1.49330486111111</v>
      </c>
    </row>
    <row r="118" customFormat="false" ht="15" hidden="false" customHeight="false" outlineLevel="0" collapsed="false">
      <c r="A118" s="27" t="n">
        <f aca="false">EDATE(A117,1)</f>
        <v>49735</v>
      </c>
      <c r="B118" s="18" t="n">
        <f aca="false">YEAR(A118)*12+MONTH(A118)</f>
        <v>24435</v>
      </c>
      <c r="C118" s="18" t="n">
        <f aca="false">YEAR(A118)</f>
        <v>2036</v>
      </c>
      <c r="D118" s="26" t="n">
        <f aca="false">SUMIF(Supuestos!$I$23:$I$35,B118,Supuestos!$D$23:$D$35)</f>
        <v>0</v>
      </c>
      <c r="E118" s="26" t="n">
        <f aca="false">SUMPRODUCT(Supuestos!$D$23:$D$35*((B118-Supuestos!$I$23:$I$35)&gt;=Supuestos!$C$15)*((B118-Supuestos!$I$23:$I$35)&lt;=Supuestos!$C$16)*(MOD((B118-Supuestos!$I$23:$I$35)-Supuestos!$C$15,6)=0))/Supuestos!$C$17</f>
        <v>48.0416666666667</v>
      </c>
      <c r="F118" s="26" t="n">
        <f aca="false">F117+D118-E118</f>
        <v>468.375</v>
      </c>
      <c r="G118" s="17" t="n">
        <f aca="false">F118/Supuestos!$C$5</f>
        <v>1.95074968763015</v>
      </c>
      <c r="H118" s="26" t="n">
        <f aca="false">MAX(0,F117-Supuestos!$C$18)</f>
        <v>0</v>
      </c>
      <c r="I118" s="18" t="n">
        <f aca="false">IF(F118&gt;Supuestos!$C$18,I117+1,0)</f>
        <v>0</v>
      </c>
      <c r="J118" s="26" t="n">
        <f aca="false">F117*Supuestos!$C$19/12</f>
        <v>1.49330486111111</v>
      </c>
      <c r="K118" s="26" t="n">
        <f aca="false">H118*Supuestos!$C$11/12</f>
        <v>0</v>
      </c>
      <c r="L118" s="26" t="n">
        <f aca="false">IF(I117&gt;Supuestos!$C$12,H118*Supuestos!$C$13/12,0)</f>
        <v>0</v>
      </c>
      <c r="M118" s="26" t="n">
        <f aca="false">D118*Supuestos!$C$14</f>
        <v>0</v>
      </c>
      <c r="N118" s="26" t="n">
        <f aca="false">SUM(J118:M118)</f>
        <v>1.49330486111111</v>
      </c>
      <c r="O118" s="26" t="n">
        <f aca="false">E118+N118</f>
        <v>49.5349715277778</v>
      </c>
    </row>
    <row r="119" customFormat="false" ht="15" hidden="false" customHeight="false" outlineLevel="0" collapsed="false">
      <c r="A119" s="27" t="n">
        <f aca="false">EDATE(A118,1)</f>
        <v>49766</v>
      </c>
      <c r="B119" s="18" t="n">
        <f aca="false">YEAR(A119)*12+MONTH(A119)</f>
        <v>24436</v>
      </c>
      <c r="C119" s="18" t="n">
        <f aca="false">YEAR(A119)</f>
        <v>2036</v>
      </c>
      <c r="D119" s="26" t="n">
        <f aca="false">SUMIF(Supuestos!$I$23:$I$35,B119,Supuestos!$D$23:$D$35)</f>
        <v>0</v>
      </c>
      <c r="E119" s="26" t="n">
        <f aca="false">SUMPRODUCT(Supuestos!$D$23:$D$35*((B119-Supuestos!$I$23:$I$35)&gt;=Supuestos!$C$15)*((B119-Supuestos!$I$23:$I$35)&lt;=Supuestos!$C$16)*(MOD((B119-Supuestos!$I$23:$I$35)-Supuestos!$C$15,6)=0))/Supuestos!$C$17</f>
        <v>13.0083333333333</v>
      </c>
      <c r="F119" s="26" t="n">
        <f aca="false">F118+D119-E119</f>
        <v>455.366666666667</v>
      </c>
      <c r="G119" s="17" t="n">
        <f aca="false">F119/Supuestos!$C$5</f>
        <v>1.89657087324726</v>
      </c>
      <c r="H119" s="26" t="n">
        <f aca="false">MAX(0,F118-Supuestos!$C$18)</f>
        <v>0</v>
      </c>
      <c r="I119" s="18" t="n">
        <f aca="false">IF(F119&gt;Supuestos!$C$18,I118+1,0)</f>
        <v>0</v>
      </c>
      <c r="J119" s="26" t="n">
        <f aca="false">F118*Supuestos!$C$19/12</f>
        <v>1.354384375</v>
      </c>
      <c r="K119" s="26" t="n">
        <f aca="false">H119*Supuestos!$C$11/12</f>
        <v>0</v>
      </c>
      <c r="L119" s="26" t="n">
        <f aca="false">IF(I118&gt;Supuestos!$C$12,H119*Supuestos!$C$13/12,0)</f>
        <v>0</v>
      </c>
      <c r="M119" s="26" t="n">
        <f aca="false">D119*Supuestos!$C$14</f>
        <v>0</v>
      </c>
      <c r="N119" s="26" t="n">
        <f aca="false">SUM(J119:M119)</f>
        <v>1.354384375</v>
      </c>
      <c r="O119" s="26" t="n">
        <f aca="false">E119+N119</f>
        <v>14.3627177083333</v>
      </c>
    </row>
    <row r="120" customFormat="false" ht="15" hidden="false" customHeight="false" outlineLevel="0" collapsed="false">
      <c r="A120" s="27" t="n">
        <f aca="false">EDATE(A119,1)</f>
        <v>49796</v>
      </c>
      <c r="B120" s="18" t="n">
        <f aca="false">YEAR(A120)*12+MONTH(A120)</f>
        <v>24437</v>
      </c>
      <c r="C120" s="18" t="n">
        <f aca="false">YEAR(A120)</f>
        <v>2036</v>
      </c>
      <c r="D120" s="26" t="n">
        <f aca="false">SUMIF(Supuestos!$I$23:$I$35,B120,Supuestos!$D$23:$D$35)</f>
        <v>0</v>
      </c>
      <c r="E120" s="26" t="n">
        <f aca="false">SUMPRODUCT(Supuestos!$D$23:$D$35*((B120-Supuestos!$I$23:$I$35)&gt;=Supuestos!$C$15)*((B120-Supuestos!$I$23:$I$35)&lt;=Supuestos!$C$16)*(MOD((B120-Supuestos!$I$23:$I$35)-Supuestos!$C$15,6)=0))/Supuestos!$C$17</f>
        <v>0</v>
      </c>
      <c r="F120" s="26" t="n">
        <f aca="false">F119+D120-E120</f>
        <v>455.366666666667</v>
      </c>
      <c r="G120" s="17" t="n">
        <f aca="false">F120/Supuestos!$C$5</f>
        <v>1.89657087324726</v>
      </c>
      <c r="H120" s="26" t="n">
        <f aca="false">MAX(0,F119-Supuestos!$C$18)</f>
        <v>0</v>
      </c>
      <c r="I120" s="18" t="n">
        <f aca="false">IF(F120&gt;Supuestos!$C$18,I119+1,0)</f>
        <v>0</v>
      </c>
      <c r="J120" s="26" t="n">
        <f aca="false">F119*Supuestos!$C$19/12</f>
        <v>1.31676861111111</v>
      </c>
      <c r="K120" s="26" t="n">
        <f aca="false">H120*Supuestos!$C$11/12</f>
        <v>0</v>
      </c>
      <c r="L120" s="26" t="n">
        <f aca="false">IF(I119&gt;Supuestos!$C$12,H120*Supuestos!$C$13/12,0)</f>
        <v>0</v>
      </c>
      <c r="M120" s="26" t="n">
        <f aca="false">D120*Supuestos!$C$14</f>
        <v>0</v>
      </c>
      <c r="N120" s="26" t="n">
        <f aca="false">SUM(J120:M120)</f>
        <v>1.31676861111111</v>
      </c>
      <c r="O120" s="26" t="n">
        <f aca="false">E120+N120</f>
        <v>1.31676861111111</v>
      </c>
    </row>
    <row r="121" customFormat="false" ht="15" hidden="false" customHeight="false" outlineLevel="0" collapsed="false">
      <c r="A121" s="27" t="n">
        <f aca="false">EDATE(A120,1)</f>
        <v>49827</v>
      </c>
      <c r="B121" s="18" t="n">
        <f aca="false">YEAR(A121)*12+MONTH(A121)</f>
        <v>24438</v>
      </c>
      <c r="C121" s="18" t="n">
        <f aca="false">YEAR(A121)</f>
        <v>2036</v>
      </c>
      <c r="D121" s="26" t="n">
        <f aca="false">SUMIF(Supuestos!$I$23:$I$35,B121,Supuestos!$D$23:$D$35)</f>
        <v>0</v>
      </c>
      <c r="E121" s="26" t="n">
        <f aca="false">SUMPRODUCT(Supuestos!$D$23:$D$35*((B121-Supuestos!$I$23:$I$35)&gt;=Supuestos!$C$15)*((B121-Supuestos!$I$23:$I$35)&lt;=Supuestos!$C$16)*(MOD((B121-Supuestos!$I$23:$I$35)-Supuestos!$C$15,6)=0))/Supuestos!$C$17</f>
        <v>53.0333333333333</v>
      </c>
      <c r="F121" s="26" t="n">
        <f aca="false">F120+D121-E121</f>
        <v>402.333333333333</v>
      </c>
      <c r="G121" s="17" t="n">
        <f aca="false">F121/Supuestos!$C$5</f>
        <v>1.67569068443704</v>
      </c>
      <c r="H121" s="26" t="n">
        <f aca="false">MAX(0,F120-Supuestos!$C$18)</f>
        <v>0</v>
      </c>
      <c r="I121" s="18" t="n">
        <f aca="false">IF(F121&gt;Supuestos!$C$18,I120+1,0)</f>
        <v>0</v>
      </c>
      <c r="J121" s="26" t="n">
        <f aca="false">F120*Supuestos!$C$19/12</f>
        <v>1.31676861111111</v>
      </c>
      <c r="K121" s="26" t="n">
        <f aca="false">H121*Supuestos!$C$11/12</f>
        <v>0</v>
      </c>
      <c r="L121" s="26" t="n">
        <f aca="false">IF(I120&gt;Supuestos!$C$12,H121*Supuestos!$C$13/12,0)</f>
        <v>0</v>
      </c>
      <c r="M121" s="26" t="n">
        <f aca="false">D121*Supuestos!$C$14</f>
        <v>0</v>
      </c>
      <c r="N121" s="26" t="n">
        <f aca="false">SUM(J121:M121)</f>
        <v>1.31676861111111</v>
      </c>
      <c r="O121" s="26" t="n">
        <f aca="false">E121+N121</f>
        <v>54.3501019444444</v>
      </c>
    </row>
    <row r="122" customFormat="false" ht="15" hidden="false" customHeight="false" outlineLevel="0" collapsed="false">
      <c r="A122" s="27" t="n">
        <f aca="false">EDATE(A121,1)</f>
        <v>49857</v>
      </c>
      <c r="B122" s="18" t="n">
        <f aca="false">YEAR(A122)*12+MONTH(A122)</f>
        <v>24439</v>
      </c>
      <c r="C122" s="18" t="n">
        <f aca="false">YEAR(A122)</f>
        <v>2036</v>
      </c>
      <c r="D122" s="26" t="n">
        <f aca="false">SUMIF(Supuestos!$I$23:$I$35,B122,Supuestos!$D$23:$D$35)</f>
        <v>0</v>
      </c>
      <c r="E122" s="26" t="n">
        <f aca="false">SUMPRODUCT(Supuestos!$D$23:$D$35*((B122-Supuestos!$I$23:$I$35)&gt;=Supuestos!$C$15)*((B122-Supuestos!$I$23:$I$35)&lt;=Supuestos!$C$16)*(MOD((B122-Supuestos!$I$23:$I$35)-Supuestos!$C$15,6)=0))/Supuestos!$C$17</f>
        <v>0</v>
      </c>
      <c r="F122" s="26" t="n">
        <f aca="false">F121+D122-E122</f>
        <v>402.333333333333</v>
      </c>
      <c r="G122" s="17" t="n">
        <f aca="false">F122/Supuestos!$C$5</f>
        <v>1.67569068443704</v>
      </c>
      <c r="H122" s="26" t="n">
        <f aca="false">MAX(0,F121-Supuestos!$C$18)</f>
        <v>0</v>
      </c>
      <c r="I122" s="18" t="n">
        <f aca="false">IF(F122&gt;Supuestos!$C$18,I121+1,0)</f>
        <v>0</v>
      </c>
      <c r="J122" s="26" t="n">
        <f aca="false">F121*Supuestos!$C$19/12</f>
        <v>1.16341388888889</v>
      </c>
      <c r="K122" s="26" t="n">
        <f aca="false">H122*Supuestos!$C$11/12</f>
        <v>0</v>
      </c>
      <c r="L122" s="26" t="n">
        <f aca="false">IF(I121&gt;Supuestos!$C$12,H122*Supuestos!$C$13/12,0)</f>
        <v>0</v>
      </c>
      <c r="M122" s="26" t="n">
        <f aca="false">D122*Supuestos!$C$14</f>
        <v>0</v>
      </c>
      <c r="N122" s="26" t="n">
        <f aca="false">SUM(J122:M122)</f>
        <v>1.16341388888889</v>
      </c>
      <c r="O122" s="26" t="n">
        <f aca="false">E122+N122</f>
        <v>1.16341388888889</v>
      </c>
    </row>
    <row r="123" customFormat="false" ht="15" hidden="false" customHeight="false" outlineLevel="0" collapsed="false">
      <c r="A123" s="27" t="n">
        <f aca="false">EDATE(A122,1)</f>
        <v>49888</v>
      </c>
      <c r="B123" s="18" t="n">
        <f aca="false">YEAR(A123)*12+MONTH(A123)</f>
        <v>24440</v>
      </c>
      <c r="C123" s="18" t="n">
        <f aca="false">YEAR(A123)</f>
        <v>2036</v>
      </c>
      <c r="D123" s="26" t="n">
        <f aca="false">SUMIF(Supuestos!$I$23:$I$35,B123,Supuestos!$D$23:$D$35)</f>
        <v>0</v>
      </c>
      <c r="E123" s="26" t="n">
        <f aca="false">SUMPRODUCT(Supuestos!$D$23:$D$35*((B123-Supuestos!$I$23:$I$35)&gt;=Supuestos!$C$15)*((B123-Supuestos!$I$23:$I$35)&lt;=Supuestos!$C$16)*(MOD((B123-Supuestos!$I$23:$I$35)-Supuestos!$C$15,6)=0))/Supuestos!$C$17</f>
        <v>0</v>
      </c>
      <c r="F123" s="26" t="n">
        <f aca="false">F122+D123-E123</f>
        <v>402.333333333333</v>
      </c>
      <c r="G123" s="17" t="n">
        <f aca="false">F123/Supuestos!$C$5</f>
        <v>1.67569068443704</v>
      </c>
      <c r="H123" s="26" t="n">
        <f aca="false">MAX(0,F122-Supuestos!$C$18)</f>
        <v>0</v>
      </c>
      <c r="I123" s="18" t="n">
        <f aca="false">IF(F123&gt;Supuestos!$C$18,I122+1,0)</f>
        <v>0</v>
      </c>
      <c r="J123" s="26" t="n">
        <f aca="false">F122*Supuestos!$C$19/12</f>
        <v>1.16341388888889</v>
      </c>
      <c r="K123" s="26" t="n">
        <f aca="false">H123*Supuestos!$C$11/12</f>
        <v>0</v>
      </c>
      <c r="L123" s="26" t="n">
        <f aca="false">IF(I122&gt;Supuestos!$C$12,H123*Supuestos!$C$13/12,0)</f>
        <v>0</v>
      </c>
      <c r="M123" s="26" t="n">
        <f aca="false">D123*Supuestos!$C$14</f>
        <v>0</v>
      </c>
      <c r="N123" s="26" t="n">
        <f aca="false">SUM(J123:M123)</f>
        <v>1.16341388888889</v>
      </c>
      <c r="O123" s="26" t="n">
        <f aca="false">E123+N123</f>
        <v>1.16341388888889</v>
      </c>
    </row>
    <row r="124" customFormat="false" ht="15" hidden="false" customHeight="false" outlineLevel="0" collapsed="false">
      <c r="A124" s="27" t="n">
        <f aca="false">EDATE(A123,1)</f>
        <v>49919</v>
      </c>
      <c r="B124" s="18" t="n">
        <f aca="false">YEAR(A124)*12+MONTH(A124)</f>
        <v>24441</v>
      </c>
      <c r="C124" s="18" t="n">
        <f aca="false">YEAR(A124)</f>
        <v>2036</v>
      </c>
      <c r="D124" s="26" t="n">
        <f aca="false">SUMIF(Supuestos!$I$23:$I$35,B124,Supuestos!$D$23:$D$35)</f>
        <v>0</v>
      </c>
      <c r="E124" s="26" t="n">
        <f aca="false">SUMPRODUCT(Supuestos!$D$23:$D$35*((B124-Supuestos!$I$23:$I$35)&gt;=Supuestos!$C$15)*((B124-Supuestos!$I$23:$I$35)&lt;=Supuestos!$C$16)*(MOD((B124-Supuestos!$I$23:$I$35)-Supuestos!$C$15,6)=0))/Supuestos!$C$17</f>
        <v>48.0416666666667</v>
      </c>
      <c r="F124" s="26" t="n">
        <f aca="false">F123+D124-E124</f>
        <v>354.291666666667</v>
      </c>
      <c r="G124" s="17" t="n">
        <f aca="false">F124/Supuestos!$C$5</f>
        <v>1.47560044425934</v>
      </c>
      <c r="H124" s="26" t="n">
        <f aca="false">MAX(0,F123-Supuestos!$C$18)</f>
        <v>0</v>
      </c>
      <c r="I124" s="18" t="n">
        <f aca="false">IF(F124&gt;Supuestos!$C$18,I123+1,0)</f>
        <v>0</v>
      </c>
      <c r="J124" s="26" t="n">
        <f aca="false">F123*Supuestos!$C$19/12</f>
        <v>1.16341388888889</v>
      </c>
      <c r="K124" s="26" t="n">
        <f aca="false">H124*Supuestos!$C$11/12</f>
        <v>0</v>
      </c>
      <c r="L124" s="26" t="n">
        <f aca="false">IF(I123&gt;Supuestos!$C$12,H124*Supuestos!$C$13/12,0)</f>
        <v>0</v>
      </c>
      <c r="M124" s="26" t="n">
        <f aca="false">D124*Supuestos!$C$14</f>
        <v>0</v>
      </c>
      <c r="N124" s="26" t="n">
        <f aca="false">SUM(J124:M124)</f>
        <v>1.16341388888889</v>
      </c>
      <c r="O124" s="26" t="n">
        <f aca="false">E124+N124</f>
        <v>49.2050805555556</v>
      </c>
    </row>
    <row r="125" customFormat="false" ht="15" hidden="false" customHeight="false" outlineLevel="0" collapsed="false">
      <c r="A125" s="27" t="n">
        <f aca="false">EDATE(A124,1)</f>
        <v>49949</v>
      </c>
      <c r="B125" s="18" t="n">
        <f aca="false">YEAR(A125)*12+MONTH(A125)</f>
        <v>24442</v>
      </c>
      <c r="C125" s="18" t="n">
        <f aca="false">YEAR(A125)</f>
        <v>2036</v>
      </c>
      <c r="D125" s="26" t="n">
        <f aca="false">SUMIF(Supuestos!$I$23:$I$35,B125,Supuestos!$D$23:$D$35)</f>
        <v>0</v>
      </c>
      <c r="E125" s="26" t="n">
        <f aca="false">SUMPRODUCT(Supuestos!$D$23:$D$35*((B125-Supuestos!$I$23:$I$35)&gt;=Supuestos!$C$15)*((B125-Supuestos!$I$23:$I$35)&lt;=Supuestos!$C$16)*(MOD((B125-Supuestos!$I$23:$I$35)-Supuestos!$C$15,6)=0))/Supuestos!$C$17</f>
        <v>13.0083333333333</v>
      </c>
      <c r="F125" s="26" t="n">
        <f aca="false">F124+D125-E125</f>
        <v>341.283333333333</v>
      </c>
      <c r="G125" s="17" t="n">
        <f aca="false">F125/Supuestos!$C$5</f>
        <v>1.42142162987644</v>
      </c>
      <c r="H125" s="26" t="n">
        <f aca="false">MAX(0,F124-Supuestos!$C$18)</f>
        <v>0</v>
      </c>
      <c r="I125" s="18" t="n">
        <f aca="false">IF(F125&gt;Supuestos!$C$18,I124+1,0)</f>
        <v>0</v>
      </c>
      <c r="J125" s="26" t="n">
        <f aca="false">F124*Supuestos!$C$19/12</f>
        <v>1.02449340277778</v>
      </c>
      <c r="K125" s="26" t="n">
        <f aca="false">H125*Supuestos!$C$11/12</f>
        <v>0</v>
      </c>
      <c r="L125" s="26" t="n">
        <f aca="false">IF(I124&gt;Supuestos!$C$12,H125*Supuestos!$C$13/12,0)</f>
        <v>0</v>
      </c>
      <c r="M125" s="26" t="n">
        <f aca="false">D125*Supuestos!$C$14</f>
        <v>0</v>
      </c>
      <c r="N125" s="26" t="n">
        <f aca="false">SUM(J125:M125)</f>
        <v>1.02449340277778</v>
      </c>
      <c r="O125" s="26" t="n">
        <f aca="false">E125+N125</f>
        <v>14.0328267361111</v>
      </c>
    </row>
    <row r="126" customFormat="false" ht="15" hidden="false" customHeight="false" outlineLevel="0" collapsed="false">
      <c r="A126" s="27" t="n">
        <f aca="false">EDATE(A125,1)</f>
        <v>49980</v>
      </c>
      <c r="B126" s="18" t="n">
        <f aca="false">YEAR(A126)*12+MONTH(A126)</f>
        <v>24443</v>
      </c>
      <c r="C126" s="18" t="n">
        <f aca="false">YEAR(A126)</f>
        <v>2036</v>
      </c>
      <c r="D126" s="26" t="n">
        <f aca="false">SUMIF(Supuestos!$I$23:$I$35,B126,Supuestos!$D$23:$D$35)</f>
        <v>0</v>
      </c>
      <c r="E126" s="26" t="n">
        <f aca="false">SUMPRODUCT(Supuestos!$D$23:$D$35*((B126-Supuestos!$I$23:$I$35)&gt;=Supuestos!$C$15)*((B126-Supuestos!$I$23:$I$35)&lt;=Supuestos!$C$16)*(MOD((B126-Supuestos!$I$23:$I$35)-Supuestos!$C$15,6)=0))/Supuestos!$C$17</f>
        <v>0</v>
      </c>
      <c r="F126" s="26" t="n">
        <f aca="false">F125+D126-E126</f>
        <v>341.283333333333</v>
      </c>
      <c r="G126" s="17" t="n">
        <f aca="false">F126/Supuestos!$C$5</f>
        <v>1.42142162987644</v>
      </c>
      <c r="H126" s="26" t="n">
        <f aca="false">MAX(0,F125-Supuestos!$C$18)</f>
        <v>0</v>
      </c>
      <c r="I126" s="18" t="n">
        <f aca="false">IF(F126&gt;Supuestos!$C$18,I125+1,0)</f>
        <v>0</v>
      </c>
      <c r="J126" s="26" t="n">
        <f aca="false">F125*Supuestos!$C$19/12</f>
        <v>0.986877638888889</v>
      </c>
      <c r="K126" s="26" t="n">
        <f aca="false">H126*Supuestos!$C$11/12</f>
        <v>0</v>
      </c>
      <c r="L126" s="26" t="n">
        <f aca="false">IF(I125&gt;Supuestos!$C$12,H126*Supuestos!$C$13/12,0)</f>
        <v>0</v>
      </c>
      <c r="M126" s="26" t="n">
        <f aca="false">D126*Supuestos!$C$14</f>
        <v>0</v>
      </c>
      <c r="N126" s="26" t="n">
        <f aca="false">SUM(J126:M126)</f>
        <v>0.986877638888889</v>
      </c>
      <c r="O126" s="26" t="n">
        <f aca="false">E126+N126</f>
        <v>0.986877638888889</v>
      </c>
    </row>
    <row r="127" customFormat="false" ht="15" hidden="false" customHeight="false" outlineLevel="0" collapsed="false">
      <c r="A127" s="27" t="n">
        <f aca="false">EDATE(A126,1)</f>
        <v>50010</v>
      </c>
      <c r="B127" s="18" t="n">
        <f aca="false">YEAR(A127)*12+MONTH(A127)</f>
        <v>24444</v>
      </c>
      <c r="C127" s="18" t="n">
        <f aca="false">YEAR(A127)</f>
        <v>2036</v>
      </c>
      <c r="D127" s="26" t="n">
        <f aca="false">SUMIF(Supuestos!$I$23:$I$35,B127,Supuestos!$D$23:$D$35)</f>
        <v>0</v>
      </c>
      <c r="E127" s="26" t="n">
        <f aca="false">SUMPRODUCT(Supuestos!$D$23:$D$35*((B127-Supuestos!$I$23:$I$35)&gt;=Supuestos!$C$15)*((B127-Supuestos!$I$23:$I$35)&lt;=Supuestos!$C$16)*(MOD((B127-Supuestos!$I$23:$I$35)-Supuestos!$C$15,6)=0))/Supuestos!$C$17</f>
        <v>53.0333333333333</v>
      </c>
      <c r="F127" s="26" t="n">
        <f aca="false">F126+D127-E127</f>
        <v>288.25</v>
      </c>
      <c r="G127" s="17" t="n">
        <f aca="false">F127/Supuestos!$C$5</f>
        <v>1.20054144106622</v>
      </c>
      <c r="H127" s="26" t="n">
        <f aca="false">MAX(0,F126-Supuestos!$C$18)</f>
        <v>0</v>
      </c>
      <c r="I127" s="18" t="n">
        <f aca="false">IF(F127&gt;Supuestos!$C$18,I126+1,0)</f>
        <v>0</v>
      </c>
      <c r="J127" s="26" t="n">
        <f aca="false">F126*Supuestos!$C$19/12</f>
        <v>0.986877638888889</v>
      </c>
      <c r="K127" s="26" t="n">
        <f aca="false">H127*Supuestos!$C$11/12</f>
        <v>0</v>
      </c>
      <c r="L127" s="26" t="n">
        <f aca="false">IF(I126&gt;Supuestos!$C$12,H127*Supuestos!$C$13/12,0)</f>
        <v>0</v>
      </c>
      <c r="M127" s="26" t="n">
        <f aca="false">D127*Supuestos!$C$14</f>
        <v>0</v>
      </c>
      <c r="N127" s="26" t="n">
        <f aca="false">SUM(J127:M127)</f>
        <v>0.986877638888889</v>
      </c>
      <c r="O127" s="26" t="n">
        <f aca="false">E127+N127</f>
        <v>54.0202109722222</v>
      </c>
    </row>
    <row r="128" customFormat="false" ht="15" hidden="false" customHeight="false" outlineLevel="0" collapsed="false">
      <c r="A128" s="27" t="n">
        <f aca="false">EDATE(A127,1)</f>
        <v>50041</v>
      </c>
      <c r="B128" s="18" t="n">
        <f aca="false">YEAR(A128)*12+MONTH(A128)</f>
        <v>24445</v>
      </c>
      <c r="C128" s="18" t="n">
        <f aca="false">YEAR(A128)</f>
        <v>2037</v>
      </c>
      <c r="D128" s="26" t="n">
        <f aca="false">SUMIF(Supuestos!$I$23:$I$35,B128,Supuestos!$D$23:$D$35)</f>
        <v>0</v>
      </c>
      <c r="E128" s="26" t="n">
        <f aca="false">SUMPRODUCT(Supuestos!$D$23:$D$35*((B128-Supuestos!$I$23:$I$35)&gt;=Supuestos!$C$15)*((B128-Supuestos!$I$23:$I$35)&lt;=Supuestos!$C$16)*(MOD((B128-Supuestos!$I$23:$I$35)-Supuestos!$C$15,6)=0))/Supuestos!$C$17</f>
        <v>0</v>
      </c>
      <c r="F128" s="26" t="n">
        <f aca="false">F127+D128-E128</f>
        <v>288.25</v>
      </c>
      <c r="G128" s="17" t="n">
        <f aca="false">F128/Supuestos!$C$5</f>
        <v>1.20054144106622</v>
      </c>
      <c r="H128" s="26" t="n">
        <f aca="false">MAX(0,F127-Supuestos!$C$18)</f>
        <v>0</v>
      </c>
      <c r="I128" s="18" t="n">
        <f aca="false">IF(F128&gt;Supuestos!$C$18,I127+1,0)</f>
        <v>0</v>
      </c>
      <c r="J128" s="26" t="n">
        <f aca="false">F127*Supuestos!$C$19/12</f>
        <v>0.833522916666667</v>
      </c>
      <c r="K128" s="26" t="n">
        <f aca="false">H128*Supuestos!$C$11/12</f>
        <v>0</v>
      </c>
      <c r="L128" s="26" t="n">
        <f aca="false">IF(I127&gt;Supuestos!$C$12,H128*Supuestos!$C$13/12,0)</f>
        <v>0</v>
      </c>
      <c r="M128" s="26" t="n">
        <f aca="false">D128*Supuestos!$C$14</f>
        <v>0</v>
      </c>
      <c r="N128" s="26" t="n">
        <f aca="false">SUM(J128:M128)</f>
        <v>0.833522916666667</v>
      </c>
      <c r="O128" s="26" t="n">
        <f aca="false">E128+N128</f>
        <v>0.833522916666667</v>
      </c>
    </row>
    <row r="129" customFormat="false" ht="15" hidden="false" customHeight="false" outlineLevel="0" collapsed="false">
      <c r="A129" s="27" t="n">
        <f aca="false">EDATE(A128,1)</f>
        <v>50072</v>
      </c>
      <c r="B129" s="18" t="n">
        <f aca="false">YEAR(A129)*12+MONTH(A129)</f>
        <v>24446</v>
      </c>
      <c r="C129" s="18" t="n">
        <f aca="false">YEAR(A129)</f>
        <v>2037</v>
      </c>
      <c r="D129" s="26" t="n">
        <f aca="false">SUMIF(Supuestos!$I$23:$I$35,B129,Supuestos!$D$23:$D$35)</f>
        <v>0</v>
      </c>
      <c r="E129" s="26" t="n">
        <f aca="false">SUMPRODUCT(Supuestos!$D$23:$D$35*((B129-Supuestos!$I$23:$I$35)&gt;=Supuestos!$C$15)*((B129-Supuestos!$I$23:$I$35)&lt;=Supuestos!$C$16)*(MOD((B129-Supuestos!$I$23:$I$35)-Supuestos!$C$15,6)=0))/Supuestos!$C$17</f>
        <v>0</v>
      </c>
      <c r="F129" s="26" t="n">
        <f aca="false">F128+D129-E129</f>
        <v>288.25</v>
      </c>
      <c r="G129" s="17" t="n">
        <f aca="false">F129/Supuestos!$C$5</f>
        <v>1.20054144106622</v>
      </c>
      <c r="H129" s="26" t="n">
        <f aca="false">MAX(0,F128-Supuestos!$C$18)</f>
        <v>0</v>
      </c>
      <c r="I129" s="18" t="n">
        <f aca="false">IF(F129&gt;Supuestos!$C$18,I128+1,0)</f>
        <v>0</v>
      </c>
      <c r="J129" s="26" t="n">
        <f aca="false">F128*Supuestos!$C$19/12</f>
        <v>0.833522916666667</v>
      </c>
      <c r="K129" s="26" t="n">
        <f aca="false">H129*Supuestos!$C$11/12</f>
        <v>0</v>
      </c>
      <c r="L129" s="26" t="n">
        <f aca="false">IF(I128&gt;Supuestos!$C$12,H129*Supuestos!$C$13/12,0)</f>
        <v>0</v>
      </c>
      <c r="M129" s="26" t="n">
        <f aca="false">D129*Supuestos!$C$14</f>
        <v>0</v>
      </c>
      <c r="N129" s="26" t="n">
        <f aca="false">SUM(J129:M129)</f>
        <v>0.833522916666667</v>
      </c>
      <c r="O129" s="26" t="n">
        <f aca="false">E129+N129</f>
        <v>0.833522916666667</v>
      </c>
    </row>
    <row r="130" customFormat="false" ht="15" hidden="false" customHeight="false" outlineLevel="0" collapsed="false">
      <c r="A130" s="27" t="n">
        <f aca="false">EDATE(A129,1)</f>
        <v>50100</v>
      </c>
      <c r="B130" s="18" t="n">
        <f aca="false">YEAR(A130)*12+MONTH(A130)</f>
        <v>24447</v>
      </c>
      <c r="C130" s="18" t="n">
        <f aca="false">YEAR(A130)</f>
        <v>2037</v>
      </c>
      <c r="D130" s="26" t="n">
        <f aca="false">SUMIF(Supuestos!$I$23:$I$35,B130,Supuestos!$D$23:$D$35)</f>
        <v>0</v>
      </c>
      <c r="E130" s="26" t="n">
        <f aca="false">SUMPRODUCT(Supuestos!$D$23:$D$35*((B130-Supuestos!$I$23:$I$35)&gt;=Supuestos!$C$15)*((B130-Supuestos!$I$23:$I$35)&lt;=Supuestos!$C$16)*(MOD((B130-Supuestos!$I$23:$I$35)-Supuestos!$C$15,6)=0))/Supuestos!$C$17</f>
        <v>48.0416666666667</v>
      </c>
      <c r="F130" s="26" t="n">
        <f aca="false">F129+D130-E130</f>
        <v>240.208333333333</v>
      </c>
      <c r="G130" s="17" t="n">
        <f aca="false">F130/Supuestos!$C$5</f>
        <v>1.00045120088852</v>
      </c>
      <c r="H130" s="26" t="n">
        <f aca="false">MAX(0,F129-Supuestos!$C$18)</f>
        <v>0</v>
      </c>
      <c r="I130" s="18" t="n">
        <f aca="false">IF(F130&gt;Supuestos!$C$18,I129+1,0)</f>
        <v>0</v>
      </c>
      <c r="J130" s="26" t="n">
        <f aca="false">F129*Supuestos!$C$19/12</f>
        <v>0.833522916666667</v>
      </c>
      <c r="K130" s="26" t="n">
        <f aca="false">H130*Supuestos!$C$11/12</f>
        <v>0</v>
      </c>
      <c r="L130" s="26" t="n">
        <f aca="false">IF(I129&gt;Supuestos!$C$12,H130*Supuestos!$C$13/12,0)</f>
        <v>0</v>
      </c>
      <c r="M130" s="26" t="n">
        <f aca="false">D130*Supuestos!$C$14</f>
        <v>0</v>
      </c>
      <c r="N130" s="26" t="n">
        <f aca="false">SUM(J130:M130)</f>
        <v>0.833522916666667</v>
      </c>
      <c r="O130" s="26" t="n">
        <f aca="false">E130+N130</f>
        <v>48.8751895833333</v>
      </c>
    </row>
    <row r="131" customFormat="false" ht="15" hidden="false" customHeight="false" outlineLevel="0" collapsed="false">
      <c r="A131" s="27" t="n">
        <f aca="false">EDATE(A130,1)</f>
        <v>50131</v>
      </c>
      <c r="B131" s="18" t="n">
        <f aca="false">YEAR(A131)*12+MONTH(A131)</f>
        <v>24448</v>
      </c>
      <c r="C131" s="18" t="n">
        <f aca="false">YEAR(A131)</f>
        <v>2037</v>
      </c>
      <c r="D131" s="26" t="n">
        <f aca="false">SUMIF(Supuestos!$I$23:$I$35,B131,Supuestos!$D$23:$D$35)</f>
        <v>0</v>
      </c>
      <c r="E131" s="26" t="n">
        <f aca="false">SUMPRODUCT(Supuestos!$D$23:$D$35*((B131-Supuestos!$I$23:$I$35)&gt;=Supuestos!$C$15)*((B131-Supuestos!$I$23:$I$35)&lt;=Supuestos!$C$16)*(MOD((B131-Supuestos!$I$23:$I$35)-Supuestos!$C$15,6)=0))/Supuestos!$C$17</f>
        <v>0</v>
      </c>
      <c r="F131" s="26" t="n">
        <f aca="false">F130+D131-E131</f>
        <v>240.208333333333</v>
      </c>
      <c r="G131" s="17" t="n">
        <f aca="false">F131/Supuestos!$C$5</f>
        <v>1.00045120088852</v>
      </c>
      <c r="H131" s="26" t="n">
        <f aca="false">MAX(0,F130-Supuestos!$C$18)</f>
        <v>0</v>
      </c>
      <c r="I131" s="18" t="n">
        <f aca="false">IF(F131&gt;Supuestos!$C$18,I130+1,0)</f>
        <v>0</v>
      </c>
      <c r="J131" s="26" t="n">
        <f aca="false">F130*Supuestos!$C$19/12</f>
        <v>0.694602430555556</v>
      </c>
      <c r="K131" s="26" t="n">
        <f aca="false">H131*Supuestos!$C$11/12</f>
        <v>0</v>
      </c>
      <c r="L131" s="26" t="n">
        <f aca="false">IF(I130&gt;Supuestos!$C$12,H131*Supuestos!$C$13/12,0)</f>
        <v>0</v>
      </c>
      <c r="M131" s="26" t="n">
        <f aca="false">D131*Supuestos!$C$14</f>
        <v>0</v>
      </c>
      <c r="N131" s="26" t="n">
        <f aca="false">SUM(J131:M131)</f>
        <v>0.694602430555556</v>
      </c>
      <c r="O131" s="26" t="n">
        <f aca="false">E131+N131</f>
        <v>0.694602430555556</v>
      </c>
    </row>
    <row r="132" customFormat="false" ht="15" hidden="false" customHeight="false" outlineLevel="0" collapsed="false">
      <c r="A132" s="27" t="n">
        <f aca="false">EDATE(A131,1)</f>
        <v>50161</v>
      </c>
      <c r="B132" s="18" t="n">
        <f aca="false">YEAR(A132)*12+MONTH(A132)</f>
        <v>24449</v>
      </c>
      <c r="C132" s="18" t="n">
        <f aca="false">YEAR(A132)</f>
        <v>2037</v>
      </c>
      <c r="D132" s="26" t="n">
        <f aca="false">SUMIF(Supuestos!$I$23:$I$35,B132,Supuestos!$D$23:$D$35)</f>
        <v>0</v>
      </c>
      <c r="E132" s="26" t="n">
        <f aca="false">SUMPRODUCT(Supuestos!$D$23:$D$35*((B132-Supuestos!$I$23:$I$35)&gt;=Supuestos!$C$15)*((B132-Supuestos!$I$23:$I$35)&lt;=Supuestos!$C$16)*(MOD((B132-Supuestos!$I$23:$I$35)-Supuestos!$C$15,6)=0))/Supuestos!$C$17</f>
        <v>0</v>
      </c>
      <c r="F132" s="26" t="n">
        <f aca="false">F131+D132-E132</f>
        <v>240.208333333333</v>
      </c>
      <c r="G132" s="17" t="n">
        <f aca="false">F132/Supuestos!$C$5</f>
        <v>1.00045120088852</v>
      </c>
      <c r="H132" s="26" t="n">
        <f aca="false">MAX(0,F131-Supuestos!$C$18)</f>
        <v>0</v>
      </c>
      <c r="I132" s="18" t="n">
        <f aca="false">IF(F132&gt;Supuestos!$C$18,I131+1,0)</f>
        <v>0</v>
      </c>
      <c r="J132" s="26" t="n">
        <f aca="false">F131*Supuestos!$C$19/12</f>
        <v>0.694602430555556</v>
      </c>
      <c r="K132" s="26" t="n">
        <f aca="false">H132*Supuestos!$C$11/12</f>
        <v>0</v>
      </c>
      <c r="L132" s="26" t="n">
        <f aca="false">IF(I131&gt;Supuestos!$C$12,H132*Supuestos!$C$13/12,0)</f>
        <v>0</v>
      </c>
      <c r="M132" s="26" t="n">
        <f aca="false">D132*Supuestos!$C$14</f>
        <v>0</v>
      </c>
      <c r="N132" s="26" t="n">
        <f aca="false">SUM(J132:M132)</f>
        <v>0.694602430555556</v>
      </c>
      <c r="O132" s="26" t="n">
        <f aca="false">E132+N132</f>
        <v>0.694602430555556</v>
      </c>
    </row>
    <row r="133" customFormat="false" ht="15" hidden="false" customHeight="false" outlineLevel="0" collapsed="false">
      <c r="A133" s="27" t="n">
        <f aca="false">EDATE(A132,1)</f>
        <v>50192</v>
      </c>
      <c r="B133" s="18" t="n">
        <f aca="false">YEAR(A133)*12+MONTH(A133)</f>
        <v>24450</v>
      </c>
      <c r="C133" s="18" t="n">
        <f aca="false">YEAR(A133)</f>
        <v>2037</v>
      </c>
      <c r="D133" s="26" t="n">
        <f aca="false">SUMIF(Supuestos!$I$23:$I$35,B133,Supuestos!$D$23:$D$35)</f>
        <v>0</v>
      </c>
      <c r="E133" s="26" t="n">
        <f aca="false">SUMPRODUCT(Supuestos!$D$23:$D$35*((B133-Supuestos!$I$23:$I$35)&gt;=Supuestos!$C$15)*((B133-Supuestos!$I$23:$I$35)&lt;=Supuestos!$C$16)*(MOD((B133-Supuestos!$I$23:$I$35)-Supuestos!$C$15,6)=0))/Supuestos!$C$17</f>
        <v>40.0333333333333</v>
      </c>
      <c r="F133" s="26" t="n">
        <f aca="false">F132+D133-E133</f>
        <v>200.175</v>
      </c>
      <c r="G133" s="17" t="n">
        <f aca="false">F133/Supuestos!$C$5</f>
        <v>0.833715118700542</v>
      </c>
      <c r="H133" s="26" t="n">
        <f aca="false">MAX(0,F132-Supuestos!$C$18)</f>
        <v>0</v>
      </c>
      <c r="I133" s="18" t="n">
        <f aca="false">IF(F133&gt;Supuestos!$C$18,I132+1,0)</f>
        <v>0</v>
      </c>
      <c r="J133" s="26" t="n">
        <f aca="false">F132*Supuestos!$C$19/12</f>
        <v>0.694602430555556</v>
      </c>
      <c r="K133" s="26" t="n">
        <f aca="false">H133*Supuestos!$C$11/12</f>
        <v>0</v>
      </c>
      <c r="L133" s="26" t="n">
        <f aca="false">IF(I132&gt;Supuestos!$C$12,H133*Supuestos!$C$13/12,0)</f>
        <v>0</v>
      </c>
      <c r="M133" s="26" t="n">
        <f aca="false">D133*Supuestos!$C$14</f>
        <v>0</v>
      </c>
      <c r="N133" s="26" t="n">
        <f aca="false">SUM(J133:M133)</f>
        <v>0.694602430555556</v>
      </c>
      <c r="O133" s="26" t="n">
        <f aca="false">E133+N133</f>
        <v>40.7279357638889</v>
      </c>
    </row>
    <row r="134" customFormat="false" ht="15" hidden="false" customHeight="false" outlineLevel="0" collapsed="false">
      <c r="A134" s="27" t="n">
        <f aca="false">EDATE(A133,1)</f>
        <v>50222</v>
      </c>
      <c r="B134" s="18" t="n">
        <f aca="false">YEAR(A134)*12+MONTH(A134)</f>
        <v>24451</v>
      </c>
      <c r="C134" s="18" t="n">
        <f aca="false">YEAR(A134)</f>
        <v>2037</v>
      </c>
      <c r="D134" s="26" t="n">
        <f aca="false">SUMIF(Supuestos!$I$23:$I$35,B134,Supuestos!$D$23:$D$35)</f>
        <v>0</v>
      </c>
      <c r="E134" s="26" t="n">
        <f aca="false">SUMPRODUCT(Supuestos!$D$23:$D$35*((B134-Supuestos!$I$23:$I$35)&gt;=Supuestos!$C$15)*((B134-Supuestos!$I$23:$I$35)&lt;=Supuestos!$C$16)*(MOD((B134-Supuestos!$I$23:$I$35)-Supuestos!$C$15,6)=0))/Supuestos!$C$17</f>
        <v>0</v>
      </c>
      <c r="F134" s="26" t="n">
        <f aca="false">F133+D134-E134</f>
        <v>200.175</v>
      </c>
      <c r="G134" s="17" t="n">
        <f aca="false">F134/Supuestos!$C$5</f>
        <v>0.833715118700542</v>
      </c>
      <c r="H134" s="26" t="n">
        <f aca="false">MAX(0,F133-Supuestos!$C$18)</f>
        <v>0</v>
      </c>
      <c r="I134" s="18" t="n">
        <f aca="false">IF(F134&gt;Supuestos!$C$18,I133+1,0)</f>
        <v>0</v>
      </c>
      <c r="J134" s="26" t="n">
        <f aca="false">F133*Supuestos!$C$19/12</f>
        <v>0.578839375</v>
      </c>
      <c r="K134" s="26" t="n">
        <f aca="false">H134*Supuestos!$C$11/12</f>
        <v>0</v>
      </c>
      <c r="L134" s="26" t="n">
        <f aca="false">IF(I133&gt;Supuestos!$C$12,H134*Supuestos!$C$13/12,0)</f>
        <v>0</v>
      </c>
      <c r="M134" s="26" t="n">
        <f aca="false">D134*Supuestos!$C$14</f>
        <v>0</v>
      </c>
      <c r="N134" s="26" t="n">
        <f aca="false">SUM(J134:M134)</f>
        <v>0.578839375</v>
      </c>
      <c r="O134" s="26" t="n">
        <f aca="false">E134+N134</f>
        <v>0.578839375</v>
      </c>
    </row>
    <row r="135" customFormat="false" ht="15" hidden="false" customHeight="false" outlineLevel="0" collapsed="false">
      <c r="A135" s="27" t="n">
        <f aca="false">EDATE(A134,1)</f>
        <v>50253</v>
      </c>
      <c r="B135" s="18" t="n">
        <f aca="false">YEAR(A135)*12+MONTH(A135)</f>
        <v>24452</v>
      </c>
      <c r="C135" s="18" t="n">
        <f aca="false">YEAR(A135)</f>
        <v>2037</v>
      </c>
      <c r="D135" s="26" t="n">
        <f aca="false">SUMIF(Supuestos!$I$23:$I$35,B135,Supuestos!$D$23:$D$35)</f>
        <v>0</v>
      </c>
      <c r="E135" s="26" t="n">
        <f aca="false">SUMPRODUCT(Supuestos!$D$23:$D$35*((B135-Supuestos!$I$23:$I$35)&gt;=Supuestos!$C$15)*((B135-Supuestos!$I$23:$I$35)&lt;=Supuestos!$C$16)*(MOD((B135-Supuestos!$I$23:$I$35)-Supuestos!$C$15,6)=0))/Supuestos!$C$17</f>
        <v>0</v>
      </c>
      <c r="F135" s="26" t="n">
        <f aca="false">F134+D135-E135</f>
        <v>200.175</v>
      </c>
      <c r="G135" s="17" t="n">
        <f aca="false">F135/Supuestos!$C$5</f>
        <v>0.833715118700542</v>
      </c>
      <c r="H135" s="26" t="n">
        <f aca="false">MAX(0,F134-Supuestos!$C$18)</f>
        <v>0</v>
      </c>
      <c r="I135" s="18" t="n">
        <f aca="false">IF(F135&gt;Supuestos!$C$18,I134+1,0)</f>
        <v>0</v>
      </c>
      <c r="J135" s="26" t="n">
        <f aca="false">F134*Supuestos!$C$19/12</f>
        <v>0.578839375</v>
      </c>
      <c r="K135" s="26" t="n">
        <f aca="false">H135*Supuestos!$C$11/12</f>
        <v>0</v>
      </c>
      <c r="L135" s="26" t="n">
        <f aca="false">IF(I134&gt;Supuestos!$C$12,H135*Supuestos!$C$13/12,0)</f>
        <v>0</v>
      </c>
      <c r="M135" s="26" t="n">
        <f aca="false">D135*Supuestos!$C$14</f>
        <v>0</v>
      </c>
      <c r="N135" s="26" t="n">
        <f aca="false">SUM(J135:M135)</f>
        <v>0.578839375</v>
      </c>
      <c r="O135" s="26" t="n">
        <f aca="false">E135+N135</f>
        <v>0.578839375</v>
      </c>
    </row>
    <row r="136" customFormat="false" ht="15" hidden="false" customHeight="false" outlineLevel="0" collapsed="false">
      <c r="A136" s="27" t="n">
        <f aca="false">EDATE(A135,1)</f>
        <v>50284</v>
      </c>
      <c r="B136" s="18" t="n">
        <f aca="false">YEAR(A136)*12+MONTH(A136)</f>
        <v>24453</v>
      </c>
      <c r="C136" s="18" t="n">
        <f aca="false">YEAR(A136)</f>
        <v>2037</v>
      </c>
      <c r="D136" s="26" t="n">
        <f aca="false">SUMIF(Supuestos!$I$23:$I$35,B136,Supuestos!$D$23:$D$35)</f>
        <v>0</v>
      </c>
      <c r="E136" s="26" t="n">
        <f aca="false">SUMPRODUCT(Supuestos!$D$23:$D$35*((B136-Supuestos!$I$23:$I$35)&gt;=Supuestos!$C$15)*((B136-Supuestos!$I$23:$I$35)&lt;=Supuestos!$C$16)*(MOD((B136-Supuestos!$I$23:$I$35)-Supuestos!$C$15,6)=0))/Supuestos!$C$17</f>
        <v>40.035</v>
      </c>
      <c r="F136" s="26" t="n">
        <f aca="false">F135+D136-E136</f>
        <v>160.14</v>
      </c>
      <c r="G136" s="17" t="n">
        <f aca="false">F136/Supuestos!$C$5</f>
        <v>0.666972094960433</v>
      </c>
      <c r="H136" s="26" t="n">
        <f aca="false">MAX(0,F135-Supuestos!$C$18)</f>
        <v>0</v>
      </c>
      <c r="I136" s="18" t="n">
        <f aca="false">IF(F136&gt;Supuestos!$C$18,I135+1,0)</f>
        <v>0</v>
      </c>
      <c r="J136" s="26" t="n">
        <f aca="false">F135*Supuestos!$C$19/12</f>
        <v>0.578839375</v>
      </c>
      <c r="K136" s="26" t="n">
        <f aca="false">H136*Supuestos!$C$11/12</f>
        <v>0</v>
      </c>
      <c r="L136" s="26" t="n">
        <f aca="false">IF(I135&gt;Supuestos!$C$12,H136*Supuestos!$C$13/12,0)</f>
        <v>0</v>
      </c>
      <c r="M136" s="26" t="n">
        <f aca="false">D136*Supuestos!$C$14</f>
        <v>0</v>
      </c>
      <c r="N136" s="26" t="n">
        <f aca="false">SUM(J136:M136)</f>
        <v>0.578839375</v>
      </c>
      <c r="O136" s="26" t="n">
        <f aca="false">E136+N136</f>
        <v>40.613839375</v>
      </c>
    </row>
    <row r="137" customFormat="false" ht="15" hidden="false" customHeight="false" outlineLevel="0" collapsed="false">
      <c r="A137" s="27" t="n">
        <f aca="false">EDATE(A136,1)</f>
        <v>50314</v>
      </c>
      <c r="B137" s="18" t="n">
        <f aca="false">YEAR(A137)*12+MONTH(A137)</f>
        <v>24454</v>
      </c>
      <c r="C137" s="18" t="n">
        <f aca="false">YEAR(A137)</f>
        <v>2037</v>
      </c>
      <c r="D137" s="26" t="n">
        <f aca="false">SUMIF(Supuestos!$I$23:$I$35,B137,Supuestos!$D$23:$D$35)</f>
        <v>0</v>
      </c>
      <c r="E137" s="26" t="n">
        <f aca="false">SUMPRODUCT(Supuestos!$D$23:$D$35*((B137-Supuestos!$I$23:$I$35)&gt;=Supuestos!$C$15)*((B137-Supuestos!$I$23:$I$35)&lt;=Supuestos!$C$16)*(MOD((B137-Supuestos!$I$23:$I$35)-Supuestos!$C$15,6)=0))/Supuestos!$C$17</f>
        <v>0</v>
      </c>
      <c r="F137" s="26" t="n">
        <f aca="false">F136+D137-E137</f>
        <v>160.14</v>
      </c>
      <c r="G137" s="17" t="n">
        <f aca="false">F137/Supuestos!$C$5</f>
        <v>0.666972094960433</v>
      </c>
      <c r="H137" s="26" t="n">
        <f aca="false">MAX(0,F136-Supuestos!$C$18)</f>
        <v>0</v>
      </c>
      <c r="I137" s="18" t="n">
        <f aca="false">IF(F137&gt;Supuestos!$C$18,I136+1,0)</f>
        <v>0</v>
      </c>
      <c r="J137" s="26" t="n">
        <f aca="false">F136*Supuestos!$C$19/12</f>
        <v>0.4630715</v>
      </c>
      <c r="K137" s="26" t="n">
        <f aca="false">H137*Supuestos!$C$11/12</f>
        <v>0</v>
      </c>
      <c r="L137" s="26" t="n">
        <f aca="false">IF(I136&gt;Supuestos!$C$12,H137*Supuestos!$C$13/12,0)</f>
        <v>0</v>
      </c>
      <c r="M137" s="26" t="n">
        <f aca="false">D137*Supuestos!$C$14</f>
        <v>0</v>
      </c>
      <c r="N137" s="26" t="n">
        <f aca="false">SUM(J137:M137)</f>
        <v>0.4630715</v>
      </c>
      <c r="O137" s="26" t="n">
        <f aca="false">E137+N137</f>
        <v>0.4630715</v>
      </c>
    </row>
    <row r="138" customFormat="false" ht="15" hidden="false" customHeight="false" outlineLevel="0" collapsed="false">
      <c r="A138" s="27" t="n">
        <f aca="false">EDATE(A137,1)</f>
        <v>50345</v>
      </c>
      <c r="B138" s="18" t="n">
        <f aca="false">YEAR(A138)*12+MONTH(A138)</f>
        <v>24455</v>
      </c>
      <c r="C138" s="18" t="n">
        <f aca="false">YEAR(A138)</f>
        <v>2037</v>
      </c>
      <c r="D138" s="26" t="n">
        <f aca="false">SUMIF(Supuestos!$I$23:$I$35,B138,Supuestos!$D$23:$D$35)</f>
        <v>0</v>
      </c>
      <c r="E138" s="26" t="n">
        <f aca="false">SUMPRODUCT(Supuestos!$D$23:$D$35*((B138-Supuestos!$I$23:$I$35)&gt;=Supuestos!$C$15)*((B138-Supuestos!$I$23:$I$35)&lt;=Supuestos!$C$16)*(MOD((B138-Supuestos!$I$23:$I$35)-Supuestos!$C$15,6)=0))/Supuestos!$C$17</f>
        <v>0</v>
      </c>
      <c r="F138" s="26" t="n">
        <f aca="false">F137+D138-E138</f>
        <v>160.14</v>
      </c>
      <c r="G138" s="17" t="n">
        <f aca="false">F138/Supuestos!$C$5</f>
        <v>0.666972094960433</v>
      </c>
      <c r="H138" s="26" t="n">
        <f aca="false">MAX(0,F137-Supuestos!$C$18)</f>
        <v>0</v>
      </c>
      <c r="I138" s="18" t="n">
        <f aca="false">IF(F138&gt;Supuestos!$C$18,I137+1,0)</f>
        <v>0</v>
      </c>
      <c r="J138" s="26" t="n">
        <f aca="false">F137*Supuestos!$C$19/12</f>
        <v>0.4630715</v>
      </c>
      <c r="K138" s="26" t="n">
        <f aca="false">H138*Supuestos!$C$11/12</f>
        <v>0</v>
      </c>
      <c r="L138" s="26" t="n">
        <f aca="false">IF(I137&gt;Supuestos!$C$12,H138*Supuestos!$C$13/12,0)</f>
        <v>0</v>
      </c>
      <c r="M138" s="26" t="n">
        <f aca="false">D138*Supuestos!$C$14</f>
        <v>0</v>
      </c>
      <c r="N138" s="26" t="n">
        <f aca="false">SUM(J138:M138)</f>
        <v>0.4630715</v>
      </c>
      <c r="O138" s="26" t="n">
        <f aca="false">E138+N138</f>
        <v>0.4630715</v>
      </c>
    </row>
    <row r="139" customFormat="false" ht="15" hidden="false" customHeight="false" outlineLevel="0" collapsed="false">
      <c r="A139" s="27" t="n">
        <f aca="false">EDATE(A138,1)</f>
        <v>50375</v>
      </c>
      <c r="B139" s="18" t="n">
        <f aca="false">YEAR(A139)*12+MONTH(A139)</f>
        <v>24456</v>
      </c>
      <c r="C139" s="18" t="n">
        <f aca="false">YEAR(A139)</f>
        <v>2037</v>
      </c>
      <c r="D139" s="26" t="n">
        <f aca="false">SUMIF(Supuestos!$I$23:$I$35,B139,Supuestos!$D$23:$D$35)</f>
        <v>0</v>
      </c>
      <c r="E139" s="26" t="n">
        <f aca="false">SUMPRODUCT(Supuestos!$D$23:$D$35*((B139-Supuestos!$I$23:$I$35)&gt;=Supuestos!$C$15)*((B139-Supuestos!$I$23:$I$35)&lt;=Supuestos!$C$16)*(MOD((B139-Supuestos!$I$23:$I$35)-Supuestos!$C$15,6)=0))/Supuestos!$C$17</f>
        <v>32.0266666666667</v>
      </c>
      <c r="F139" s="26" t="n">
        <f aca="false">F138+D139-E139</f>
        <v>128.113333333333</v>
      </c>
      <c r="G139" s="17" t="n">
        <f aca="false">F139/Supuestos!$C$5</f>
        <v>0.533583229210051</v>
      </c>
      <c r="H139" s="26" t="n">
        <f aca="false">MAX(0,F138-Supuestos!$C$18)</f>
        <v>0</v>
      </c>
      <c r="I139" s="18" t="n">
        <f aca="false">IF(F139&gt;Supuestos!$C$18,I138+1,0)</f>
        <v>0</v>
      </c>
      <c r="J139" s="26" t="n">
        <f aca="false">F138*Supuestos!$C$19/12</f>
        <v>0.4630715</v>
      </c>
      <c r="K139" s="26" t="n">
        <f aca="false">H139*Supuestos!$C$11/12</f>
        <v>0</v>
      </c>
      <c r="L139" s="26" t="n">
        <f aca="false">IF(I138&gt;Supuestos!$C$12,H139*Supuestos!$C$13/12,0)</f>
        <v>0</v>
      </c>
      <c r="M139" s="26" t="n">
        <f aca="false">D139*Supuestos!$C$14</f>
        <v>0</v>
      </c>
      <c r="N139" s="26" t="n">
        <f aca="false">SUM(J139:M139)</f>
        <v>0.4630715</v>
      </c>
      <c r="O139" s="26" t="n">
        <f aca="false">E139+N139</f>
        <v>32.4897381666667</v>
      </c>
    </row>
    <row r="140" customFormat="false" ht="15" hidden="false" customHeight="false" outlineLevel="0" collapsed="false">
      <c r="A140" s="27" t="n">
        <f aca="false">EDATE(A139,1)</f>
        <v>50406</v>
      </c>
      <c r="B140" s="18" t="n">
        <f aca="false">YEAR(A140)*12+MONTH(A140)</f>
        <v>24457</v>
      </c>
      <c r="C140" s="18" t="n">
        <f aca="false">YEAR(A140)</f>
        <v>2038</v>
      </c>
      <c r="D140" s="26" t="n">
        <f aca="false">SUMIF(Supuestos!$I$23:$I$35,B140,Supuestos!$D$23:$D$35)</f>
        <v>0</v>
      </c>
      <c r="E140" s="26" t="n">
        <f aca="false">SUMPRODUCT(Supuestos!$D$23:$D$35*((B140-Supuestos!$I$23:$I$35)&gt;=Supuestos!$C$15)*((B140-Supuestos!$I$23:$I$35)&lt;=Supuestos!$C$16)*(MOD((B140-Supuestos!$I$23:$I$35)-Supuestos!$C$15,6)=0))/Supuestos!$C$17</f>
        <v>0</v>
      </c>
      <c r="F140" s="26" t="n">
        <f aca="false">F139+D140-E140</f>
        <v>128.113333333333</v>
      </c>
      <c r="G140" s="17" t="n">
        <f aca="false">F140/Supuestos!$C$5</f>
        <v>0.533583229210051</v>
      </c>
      <c r="H140" s="26" t="n">
        <f aca="false">MAX(0,F139-Supuestos!$C$18)</f>
        <v>0</v>
      </c>
      <c r="I140" s="18" t="n">
        <f aca="false">IF(F140&gt;Supuestos!$C$18,I139+1,0)</f>
        <v>0</v>
      </c>
      <c r="J140" s="26" t="n">
        <f aca="false">F139*Supuestos!$C$19/12</f>
        <v>0.370461055555556</v>
      </c>
      <c r="K140" s="26" t="n">
        <f aca="false">H140*Supuestos!$C$11/12</f>
        <v>0</v>
      </c>
      <c r="L140" s="26" t="n">
        <f aca="false">IF(I139&gt;Supuestos!$C$12,H140*Supuestos!$C$13/12,0)</f>
        <v>0</v>
      </c>
      <c r="M140" s="26" t="n">
        <f aca="false">D140*Supuestos!$C$14</f>
        <v>0</v>
      </c>
      <c r="N140" s="26" t="n">
        <f aca="false">SUM(J140:M140)</f>
        <v>0.370461055555556</v>
      </c>
      <c r="O140" s="26" t="n">
        <f aca="false">E140+N140</f>
        <v>0.370461055555556</v>
      </c>
    </row>
    <row r="141" customFormat="false" ht="15" hidden="false" customHeight="false" outlineLevel="0" collapsed="false">
      <c r="A141" s="27" t="n">
        <f aca="false">EDATE(A140,1)</f>
        <v>50437</v>
      </c>
      <c r="B141" s="18" t="n">
        <f aca="false">YEAR(A141)*12+MONTH(A141)</f>
        <v>24458</v>
      </c>
      <c r="C141" s="18" t="n">
        <f aca="false">YEAR(A141)</f>
        <v>2038</v>
      </c>
      <c r="D141" s="26" t="n">
        <f aca="false">SUMIF(Supuestos!$I$23:$I$35,B141,Supuestos!$D$23:$D$35)</f>
        <v>0</v>
      </c>
      <c r="E141" s="26" t="n">
        <f aca="false">SUMPRODUCT(Supuestos!$D$23:$D$35*((B141-Supuestos!$I$23:$I$35)&gt;=Supuestos!$C$15)*((B141-Supuestos!$I$23:$I$35)&lt;=Supuestos!$C$16)*(MOD((B141-Supuestos!$I$23:$I$35)-Supuestos!$C$15,6)=0))/Supuestos!$C$17</f>
        <v>0</v>
      </c>
      <c r="F141" s="26" t="n">
        <f aca="false">F140+D141-E141</f>
        <v>128.113333333333</v>
      </c>
      <c r="G141" s="17" t="n">
        <f aca="false">F141/Supuestos!$C$5</f>
        <v>0.533583229210051</v>
      </c>
      <c r="H141" s="26" t="n">
        <f aca="false">MAX(0,F140-Supuestos!$C$18)</f>
        <v>0</v>
      </c>
      <c r="I141" s="18" t="n">
        <f aca="false">IF(F141&gt;Supuestos!$C$18,I140+1,0)</f>
        <v>0</v>
      </c>
      <c r="J141" s="26" t="n">
        <f aca="false">F140*Supuestos!$C$19/12</f>
        <v>0.370461055555556</v>
      </c>
      <c r="K141" s="26" t="n">
        <f aca="false">H141*Supuestos!$C$11/12</f>
        <v>0</v>
      </c>
      <c r="L141" s="26" t="n">
        <f aca="false">IF(I140&gt;Supuestos!$C$12,H141*Supuestos!$C$13/12,0)</f>
        <v>0</v>
      </c>
      <c r="M141" s="26" t="n">
        <f aca="false">D141*Supuestos!$C$14</f>
        <v>0</v>
      </c>
      <c r="N141" s="26" t="n">
        <f aca="false">SUM(J141:M141)</f>
        <v>0.370461055555556</v>
      </c>
      <c r="O141" s="26" t="n">
        <f aca="false">E141+N141</f>
        <v>0.370461055555556</v>
      </c>
    </row>
    <row r="142" customFormat="false" ht="15" hidden="false" customHeight="false" outlineLevel="0" collapsed="false">
      <c r="A142" s="27" t="n">
        <f aca="false">EDATE(A141,1)</f>
        <v>50465</v>
      </c>
      <c r="B142" s="18" t="n">
        <f aca="false">YEAR(A142)*12+MONTH(A142)</f>
        <v>24459</v>
      </c>
      <c r="C142" s="18" t="n">
        <f aca="false">YEAR(A142)</f>
        <v>2038</v>
      </c>
      <c r="D142" s="26" t="n">
        <f aca="false">SUMIF(Supuestos!$I$23:$I$35,B142,Supuestos!$D$23:$D$35)</f>
        <v>0</v>
      </c>
      <c r="E142" s="26" t="n">
        <f aca="false">SUMPRODUCT(Supuestos!$D$23:$D$35*((B142-Supuestos!$I$23:$I$35)&gt;=Supuestos!$C$15)*((B142-Supuestos!$I$23:$I$35)&lt;=Supuestos!$C$16)*(MOD((B142-Supuestos!$I$23:$I$35)-Supuestos!$C$15,6)=0))/Supuestos!$C$17</f>
        <v>32.0283333333333</v>
      </c>
      <c r="F142" s="26" t="n">
        <f aca="false">F141+D142-E142</f>
        <v>96.085</v>
      </c>
      <c r="G142" s="17" t="n">
        <f aca="false">F142/Supuestos!$C$5</f>
        <v>0.400187421907539</v>
      </c>
      <c r="H142" s="26" t="n">
        <f aca="false">MAX(0,F141-Supuestos!$C$18)</f>
        <v>0</v>
      </c>
      <c r="I142" s="18" t="n">
        <f aca="false">IF(F142&gt;Supuestos!$C$18,I141+1,0)</f>
        <v>0</v>
      </c>
      <c r="J142" s="26" t="n">
        <f aca="false">F141*Supuestos!$C$19/12</f>
        <v>0.370461055555556</v>
      </c>
      <c r="K142" s="26" t="n">
        <f aca="false">H142*Supuestos!$C$11/12</f>
        <v>0</v>
      </c>
      <c r="L142" s="26" t="n">
        <f aca="false">IF(I141&gt;Supuestos!$C$12,H142*Supuestos!$C$13/12,0)</f>
        <v>0</v>
      </c>
      <c r="M142" s="26" t="n">
        <f aca="false">D142*Supuestos!$C$14</f>
        <v>0</v>
      </c>
      <c r="N142" s="26" t="n">
        <f aca="false">SUM(J142:M142)</f>
        <v>0.370461055555556</v>
      </c>
      <c r="O142" s="26" t="n">
        <f aca="false">E142+N142</f>
        <v>32.3987943888889</v>
      </c>
    </row>
    <row r="143" customFormat="false" ht="15" hidden="false" customHeight="false" outlineLevel="0" collapsed="false">
      <c r="A143" s="27" t="n">
        <f aca="false">EDATE(A142,1)</f>
        <v>50496</v>
      </c>
      <c r="B143" s="18" t="n">
        <f aca="false">YEAR(A143)*12+MONTH(A143)</f>
        <v>24460</v>
      </c>
      <c r="C143" s="18" t="n">
        <f aca="false">YEAR(A143)</f>
        <v>2038</v>
      </c>
      <c r="D143" s="26" t="n">
        <f aca="false">SUMIF(Supuestos!$I$23:$I$35,B143,Supuestos!$D$23:$D$35)</f>
        <v>0</v>
      </c>
      <c r="E143" s="26" t="n">
        <f aca="false">SUMPRODUCT(Supuestos!$D$23:$D$35*((B143-Supuestos!$I$23:$I$35)&gt;=Supuestos!$C$15)*((B143-Supuestos!$I$23:$I$35)&lt;=Supuestos!$C$16)*(MOD((B143-Supuestos!$I$23:$I$35)-Supuestos!$C$15,6)=0))/Supuestos!$C$17</f>
        <v>0</v>
      </c>
      <c r="F143" s="26" t="n">
        <f aca="false">F142+D143-E143</f>
        <v>96.085</v>
      </c>
      <c r="G143" s="17" t="n">
        <f aca="false">F143/Supuestos!$C$5</f>
        <v>0.400187421907539</v>
      </c>
      <c r="H143" s="26" t="n">
        <f aca="false">MAX(0,F142-Supuestos!$C$18)</f>
        <v>0</v>
      </c>
      <c r="I143" s="18" t="n">
        <f aca="false">IF(F143&gt;Supuestos!$C$18,I142+1,0)</f>
        <v>0</v>
      </c>
      <c r="J143" s="26" t="n">
        <f aca="false">F142*Supuestos!$C$19/12</f>
        <v>0.277845791666667</v>
      </c>
      <c r="K143" s="26" t="n">
        <f aca="false">H143*Supuestos!$C$11/12</f>
        <v>0</v>
      </c>
      <c r="L143" s="26" t="n">
        <f aca="false">IF(I142&gt;Supuestos!$C$12,H143*Supuestos!$C$13/12,0)</f>
        <v>0</v>
      </c>
      <c r="M143" s="26" t="n">
        <f aca="false">D143*Supuestos!$C$14</f>
        <v>0</v>
      </c>
      <c r="N143" s="26" t="n">
        <f aca="false">SUM(J143:M143)</f>
        <v>0.277845791666667</v>
      </c>
      <c r="O143" s="26" t="n">
        <f aca="false">E143+N143</f>
        <v>0.277845791666667</v>
      </c>
    </row>
    <row r="144" customFormat="false" ht="15" hidden="false" customHeight="false" outlineLevel="0" collapsed="false">
      <c r="A144" s="27" t="n">
        <f aca="false">EDATE(A143,1)</f>
        <v>50526</v>
      </c>
      <c r="B144" s="18" t="n">
        <f aca="false">YEAR(A144)*12+MONTH(A144)</f>
        <v>24461</v>
      </c>
      <c r="C144" s="18" t="n">
        <f aca="false">YEAR(A144)</f>
        <v>2038</v>
      </c>
      <c r="D144" s="26" t="n">
        <f aca="false">SUMIF(Supuestos!$I$23:$I$35,B144,Supuestos!$D$23:$D$35)</f>
        <v>0</v>
      </c>
      <c r="E144" s="26" t="n">
        <f aca="false">SUMPRODUCT(Supuestos!$D$23:$D$35*((B144-Supuestos!$I$23:$I$35)&gt;=Supuestos!$C$15)*((B144-Supuestos!$I$23:$I$35)&lt;=Supuestos!$C$16)*(MOD((B144-Supuestos!$I$23:$I$35)-Supuestos!$C$15,6)=0))/Supuestos!$C$17</f>
        <v>0</v>
      </c>
      <c r="F144" s="26" t="n">
        <f aca="false">F143+D144-E144</f>
        <v>96.085</v>
      </c>
      <c r="G144" s="17" t="n">
        <f aca="false">F144/Supuestos!$C$5</f>
        <v>0.400187421907539</v>
      </c>
      <c r="H144" s="26" t="n">
        <f aca="false">MAX(0,F143-Supuestos!$C$18)</f>
        <v>0</v>
      </c>
      <c r="I144" s="18" t="n">
        <f aca="false">IF(F144&gt;Supuestos!$C$18,I143+1,0)</f>
        <v>0</v>
      </c>
      <c r="J144" s="26" t="n">
        <f aca="false">F143*Supuestos!$C$19/12</f>
        <v>0.277845791666667</v>
      </c>
      <c r="K144" s="26" t="n">
        <f aca="false">H144*Supuestos!$C$11/12</f>
        <v>0</v>
      </c>
      <c r="L144" s="26" t="n">
        <f aca="false">IF(I143&gt;Supuestos!$C$12,H144*Supuestos!$C$13/12,0)</f>
        <v>0</v>
      </c>
      <c r="M144" s="26" t="n">
        <f aca="false">D144*Supuestos!$C$14</f>
        <v>0</v>
      </c>
      <c r="N144" s="26" t="n">
        <f aca="false">SUM(J144:M144)</f>
        <v>0.277845791666667</v>
      </c>
      <c r="O144" s="26" t="n">
        <f aca="false">E144+N144</f>
        <v>0.277845791666667</v>
      </c>
    </row>
    <row r="145" customFormat="false" ht="15" hidden="false" customHeight="false" outlineLevel="0" collapsed="false">
      <c r="A145" s="27" t="n">
        <f aca="false">EDATE(A144,1)</f>
        <v>50557</v>
      </c>
      <c r="B145" s="18" t="n">
        <f aca="false">YEAR(A145)*12+MONTH(A145)</f>
        <v>24462</v>
      </c>
      <c r="C145" s="18" t="n">
        <f aca="false">YEAR(A145)</f>
        <v>2038</v>
      </c>
      <c r="D145" s="26" t="n">
        <f aca="false">SUMIF(Supuestos!$I$23:$I$35,B145,Supuestos!$D$23:$D$35)</f>
        <v>0</v>
      </c>
      <c r="E145" s="26" t="n">
        <f aca="false">SUMPRODUCT(Supuestos!$D$23:$D$35*((B145-Supuestos!$I$23:$I$35)&gt;=Supuestos!$C$15)*((B145-Supuestos!$I$23:$I$35)&lt;=Supuestos!$C$16)*(MOD((B145-Supuestos!$I$23:$I$35)-Supuestos!$C$15,6)=0))/Supuestos!$C$17</f>
        <v>24.02</v>
      </c>
      <c r="F145" s="26" t="n">
        <f aca="false">F144+D145-E145</f>
        <v>72.065</v>
      </c>
      <c r="G145" s="17" t="n">
        <f aca="false">F145/Supuestos!$C$5</f>
        <v>0.300145772594752</v>
      </c>
      <c r="H145" s="26" t="n">
        <f aca="false">MAX(0,F144-Supuestos!$C$18)</f>
        <v>0</v>
      </c>
      <c r="I145" s="18" t="n">
        <f aca="false">IF(F145&gt;Supuestos!$C$18,I144+1,0)</f>
        <v>0</v>
      </c>
      <c r="J145" s="26" t="n">
        <f aca="false">F144*Supuestos!$C$19/12</f>
        <v>0.277845791666667</v>
      </c>
      <c r="K145" s="26" t="n">
        <f aca="false">H145*Supuestos!$C$11/12</f>
        <v>0</v>
      </c>
      <c r="L145" s="26" t="n">
        <f aca="false">IF(I144&gt;Supuestos!$C$12,H145*Supuestos!$C$13/12,0)</f>
        <v>0</v>
      </c>
      <c r="M145" s="26" t="n">
        <f aca="false">D145*Supuestos!$C$14</f>
        <v>0</v>
      </c>
      <c r="N145" s="26" t="n">
        <f aca="false">SUM(J145:M145)</f>
        <v>0.277845791666667</v>
      </c>
      <c r="O145" s="26" t="n">
        <f aca="false">E145+N145</f>
        <v>24.2978457916667</v>
      </c>
    </row>
    <row r="146" customFormat="false" ht="15" hidden="false" customHeight="false" outlineLevel="0" collapsed="false">
      <c r="A146" s="27" t="n">
        <f aca="false">EDATE(A145,1)</f>
        <v>50587</v>
      </c>
      <c r="B146" s="18" t="n">
        <f aca="false">YEAR(A146)*12+MONTH(A146)</f>
        <v>24463</v>
      </c>
      <c r="C146" s="18" t="n">
        <f aca="false">YEAR(A146)</f>
        <v>2038</v>
      </c>
      <c r="D146" s="26" t="n">
        <f aca="false">SUMIF(Supuestos!$I$23:$I$35,B146,Supuestos!$D$23:$D$35)</f>
        <v>0</v>
      </c>
      <c r="E146" s="26" t="n">
        <f aca="false">SUMPRODUCT(Supuestos!$D$23:$D$35*((B146-Supuestos!$I$23:$I$35)&gt;=Supuestos!$C$15)*((B146-Supuestos!$I$23:$I$35)&lt;=Supuestos!$C$16)*(MOD((B146-Supuestos!$I$23:$I$35)-Supuestos!$C$15,6)=0))/Supuestos!$C$17</f>
        <v>0</v>
      </c>
      <c r="F146" s="26" t="n">
        <f aca="false">F145+D146-E146</f>
        <v>72.065</v>
      </c>
      <c r="G146" s="17" t="n">
        <f aca="false">F146/Supuestos!$C$5</f>
        <v>0.300145772594752</v>
      </c>
      <c r="H146" s="26" t="n">
        <f aca="false">MAX(0,F145-Supuestos!$C$18)</f>
        <v>0</v>
      </c>
      <c r="I146" s="18" t="n">
        <f aca="false">IF(F146&gt;Supuestos!$C$18,I145+1,0)</f>
        <v>0</v>
      </c>
      <c r="J146" s="26" t="n">
        <f aca="false">F145*Supuestos!$C$19/12</f>
        <v>0.208387958333333</v>
      </c>
      <c r="K146" s="26" t="n">
        <f aca="false">H146*Supuestos!$C$11/12</f>
        <v>0</v>
      </c>
      <c r="L146" s="26" t="n">
        <f aca="false">IF(I145&gt;Supuestos!$C$12,H146*Supuestos!$C$13/12,0)</f>
        <v>0</v>
      </c>
      <c r="M146" s="26" t="n">
        <f aca="false">D146*Supuestos!$C$14</f>
        <v>0</v>
      </c>
      <c r="N146" s="26" t="n">
        <f aca="false">SUM(J146:M146)</f>
        <v>0.208387958333333</v>
      </c>
      <c r="O146" s="26" t="n">
        <f aca="false">E146+N146</f>
        <v>0.208387958333333</v>
      </c>
    </row>
    <row r="147" customFormat="false" ht="15" hidden="false" customHeight="false" outlineLevel="0" collapsed="false">
      <c r="A147" s="27" t="n">
        <f aca="false">EDATE(A146,1)</f>
        <v>50618</v>
      </c>
      <c r="B147" s="18" t="n">
        <f aca="false">YEAR(A147)*12+MONTH(A147)</f>
        <v>24464</v>
      </c>
      <c r="C147" s="18" t="n">
        <f aca="false">YEAR(A147)</f>
        <v>2038</v>
      </c>
      <c r="D147" s="26" t="n">
        <f aca="false">SUMIF(Supuestos!$I$23:$I$35,B147,Supuestos!$D$23:$D$35)</f>
        <v>0</v>
      </c>
      <c r="E147" s="26" t="n">
        <f aca="false">SUMPRODUCT(Supuestos!$D$23:$D$35*((B147-Supuestos!$I$23:$I$35)&gt;=Supuestos!$C$15)*((B147-Supuestos!$I$23:$I$35)&lt;=Supuestos!$C$16)*(MOD((B147-Supuestos!$I$23:$I$35)-Supuestos!$C$15,6)=0))/Supuestos!$C$17</f>
        <v>0</v>
      </c>
      <c r="F147" s="26" t="n">
        <f aca="false">F146+D147-E147</f>
        <v>72.065</v>
      </c>
      <c r="G147" s="17" t="n">
        <f aca="false">F147/Supuestos!$C$5</f>
        <v>0.300145772594752</v>
      </c>
      <c r="H147" s="26" t="n">
        <f aca="false">MAX(0,F146-Supuestos!$C$18)</f>
        <v>0</v>
      </c>
      <c r="I147" s="18" t="n">
        <f aca="false">IF(F147&gt;Supuestos!$C$18,I146+1,0)</f>
        <v>0</v>
      </c>
      <c r="J147" s="26" t="n">
        <f aca="false">F146*Supuestos!$C$19/12</f>
        <v>0.208387958333333</v>
      </c>
      <c r="K147" s="26" t="n">
        <f aca="false">H147*Supuestos!$C$11/12</f>
        <v>0</v>
      </c>
      <c r="L147" s="26" t="n">
        <f aca="false">IF(I146&gt;Supuestos!$C$12,H147*Supuestos!$C$13/12,0)</f>
        <v>0</v>
      </c>
      <c r="M147" s="26" t="n">
        <f aca="false">D147*Supuestos!$C$14</f>
        <v>0</v>
      </c>
      <c r="N147" s="26" t="n">
        <f aca="false">SUM(J147:M147)</f>
        <v>0.208387958333333</v>
      </c>
      <c r="O147" s="26" t="n">
        <f aca="false">E147+N147</f>
        <v>0.208387958333333</v>
      </c>
    </row>
    <row r="148" customFormat="false" ht="15" hidden="false" customHeight="false" outlineLevel="0" collapsed="false">
      <c r="A148" s="27" t="n">
        <f aca="false">EDATE(A147,1)</f>
        <v>50649</v>
      </c>
      <c r="B148" s="18" t="n">
        <f aca="false">YEAR(A148)*12+MONTH(A148)</f>
        <v>24465</v>
      </c>
      <c r="C148" s="18" t="n">
        <f aca="false">YEAR(A148)</f>
        <v>2038</v>
      </c>
      <c r="D148" s="26" t="n">
        <f aca="false">SUMIF(Supuestos!$I$23:$I$35,B148,Supuestos!$D$23:$D$35)</f>
        <v>0</v>
      </c>
      <c r="E148" s="26" t="n">
        <f aca="false">SUMPRODUCT(Supuestos!$D$23:$D$35*((B148-Supuestos!$I$23:$I$35)&gt;=Supuestos!$C$15)*((B148-Supuestos!$I$23:$I$35)&lt;=Supuestos!$C$16)*(MOD((B148-Supuestos!$I$23:$I$35)-Supuestos!$C$15,6)=0))/Supuestos!$C$17</f>
        <v>24.0216666666667</v>
      </c>
      <c r="F148" s="26" t="n">
        <f aca="false">F147+D148-E148</f>
        <v>48.0433333333334</v>
      </c>
      <c r="G148" s="17" t="n">
        <f aca="false">F148/Supuestos!$C$5</f>
        <v>0.200097181729835</v>
      </c>
      <c r="H148" s="26" t="n">
        <f aca="false">MAX(0,F147-Supuestos!$C$18)</f>
        <v>0</v>
      </c>
      <c r="I148" s="18" t="n">
        <f aca="false">IF(F148&gt;Supuestos!$C$18,I147+1,0)</f>
        <v>0</v>
      </c>
      <c r="J148" s="26" t="n">
        <f aca="false">F147*Supuestos!$C$19/12</f>
        <v>0.208387958333333</v>
      </c>
      <c r="K148" s="26" t="n">
        <f aca="false">H148*Supuestos!$C$11/12</f>
        <v>0</v>
      </c>
      <c r="L148" s="26" t="n">
        <f aca="false">IF(I147&gt;Supuestos!$C$12,H148*Supuestos!$C$13/12,0)</f>
        <v>0</v>
      </c>
      <c r="M148" s="26" t="n">
        <f aca="false">D148*Supuestos!$C$14</f>
        <v>0</v>
      </c>
      <c r="N148" s="26" t="n">
        <f aca="false">SUM(J148:M148)</f>
        <v>0.208387958333333</v>
      </c>
      <c r="O148" s="26" t="n">
        <f aca="false">E148+N148</f>
        <v>24.230054625</v>
      </c>
    </row>
    <row r="149" customFormat="false" ht="15" hidden="false" customHeight="false" outlineLevel="0" collapsed="false">
      <c r="A149" s="27" t="n">
        <f aca="false">EDATE(A148,1)</f>
        <v>50679</v>
      </c>
      <c r="B149" s="18" t="n">
        <f aca="false">YEAR(A149)*12+MONTH(A149)</f>
        <v>24466</v>
      </c>
      <c r="C149" s="18" t="n">
        <f aca="false">YEAR(A149)</f>
        <v>2038</v>
      </c>
      <c r="D149" s="26" t="n">
        <f aca="false">SUMIF(Supuestos!$I$23:$I$35,B149,Supuestos!$D$23:$D$35)</f>
        <v>0</v>
      </c>
      <c r="E149" s="26" t="n">
        <f aca="false">SUMPRODUCT(Supuestos!$D$23:$D$35*((B149-Supuestos!$I$23:$I$35)&gt;=Supuestos!$C$15)*((B149-Supuestos!$I$23:$I$35)&lt;=Supuestos!$C$16)*(MOD((B149-Supuestos!$I$23:$I$35)-Supuestos!$C$15,6)=0))/Supuestos!$C$17</f>
        <v>0</v>
      </c>
      <c r="F149" s="26" t="n">
        <f aca="false">F148+D149-E149</f>
        <v>48.0433333333334</v>
      </c>
      <c r="G149" s="17" t="n">
        <f aca="false">F149/Supuestos!$C$5</f>
        <v>0.200097181729835</v>
      </c>
      <c r="H149" s="26" t="n">
        <f aca="false">MAX(0,F148-Supuestos!$C$18)</f>
        <v>0</v>
      </c>
      <c r="I149" s="18" t="n">
        <f aca="false">IF(F149&gt;Supuestos!$C$18,I148+1,0)</f>
        <v>0</v>
      </c>
      <c r="J149" s="26" t="n">
        <f aca="false">F148*Supuestos!$C$19/12</f>
        <v>0.138925305555556</v>
      </c>
      <c r="K149" s="26" t="n">
        <f aca="false">H149*Supuestos!$C$11/12</f>
        <v>0</v>
      </c>
      <c r="L149" s="26" t="n">
        <f aca="false">IF(I148&gt;Supuestos!$C$12,H149*Supuestos!$C$13/12,0)</f>
        <v>0</v>
      </c>
      <c r="M149" s="26" t="n">
        <f aca="false">D149*Supuestos!$C$14</f>
        <v>0</v>
      </c>
      <c r="N149" s="26" t="n">
        <f aca="false">SUM(J149:M149)</f>
        <v>0.138925305555556</v>
      </c>
      <c r="O149" s="26" t="n">
        <f aca="false">E149+N149</f>
        <v>0.138925305555556</v>
      </c>
    </row>
    <row r="150" customFormat="false" ht="15" hidden="false" customHeight="false" outlineLevel="0" collapsed="false">
      <c r="A150" s="27" t="n">
        <f aca="false">EDATE(A149,1)</f>
        <v>50710</v>
      </c>
      <c r="B150" s="18" t="n">
        <f aca="false">YEAR(A150)*12+MONTH(A150)</f>
        <v>24467</v>
      </c>
      <c r="C150" s="18" t="n">
        <f aca="false">YEAR(A150)</f>
        <v>2038</v>
      </c>
      <c r="D150" s="26" t="n">
        <f aca="false">SUMIF(Supuestos!$I$23:$I$35,B150,Supuestos!$D$23:$D$35)</f>
        <v>0</v>
      </c>
      <c r="E150" s="26" t="n">
        <f aca="false">SUMPRODUCT(Supuestos!$D$23:$D$35*((B150-Supuestos!$I$23:$I$35)&gt;=Supuestos!$C$15)*((B150-Supuestos!$I$23:$I$35)&lt;=Supuestos!$C$16)*(MOD((B150-Supuestos!$I$23:$I$35)-Supuestos!$C$15,6)=0))/Supuestos!$C$17</f>
        <v>0</v>
      </c>
      <c r="F150" s="26" t="n">
        <f aca="false">F149+D150-E150</f>
        <v>48.0433333333334</v>
      </c>
      <c r="G150" s="17" t="n">
        <f aca="false">F150/Supuestos!$C$5</f>
        <v>0.200097181729835</v>
      </c>
      <c r="H150" s="26" t="n">
        <f aca="false">MAX(0,F149-Supuestos!$C$18)</f>
        <v>0</v>
      </c>
      <c r="I150" s="18" t="n">
        <f aca="false">IF(F150&gt;Supuestos!$C$18,I149+1,0)</f>
        <v>0</v>
      </c>
      <c r="J150" s="26" t="n">
        <f aca="false">F149*Supuestos!$C$19/12</f>
        <v>0.138925305555556</v>
      </c>
      <c r="K150" s="26" t="n">
        <f aca="false">H150*Supuestos!$C$11/12</f>
        <v>0</v>
      </c>
      <c r="L150" s="26" t="n">
        <f aca="false">IF(I149&gt;Supuestos!$C$12,H150*Supuestos!$C$13/12,0)</f>
        <v>0</v>
      </c>
      <c r="M150" s="26" t="n">
        <f aca="false">D150*Supuestos!$C$14</f>
        <v>0</v>
      </c>
      <c r="N150" s="26" t="n">
        <f aca="false">SUM(J150:M150)</f>
        <v>0.138925305555556</v>
      </c>
      <c r="O150" s="26" t="n">
        <f aca="false">E150+N150</f>
        <v>0.138925305555556</v>
      </c>
    </row>
    <row r="151" customFormat="false" ht="15" hidden="false" customHeight="false" outlineLevel="0" collapsed="false">
      <c r="A151" s="27" t="n">
        <f aca="false">EDATE(A150,1)</f>
        <v>50740</v>
      </c>
      <c r="B151" s="18" t="n">
        <f aca="false">YEAR(A151)*12+MONTH(A151)</f>
        <v>24468</v>
      </c>
      <c r="C151" s="18" t="n">
        <f aca="false">YEAR(A151)</f>
        <v>2038</v>
      </c>
      <c r="D151" s="26" t="n">
        <f aca="false">SUMIF(Supuestos!$I$23:$I$35,B151,Supuestos!$D$23:$D$35)</f>
        <v>0</v>
      </c>
      <c r="E151" s="26" t="n">
        <f aca="false">SUMPRODUCT(Supuestos!$D$23:$D$35*((B151-Supuestos!$I$23:$I$35)&gt;=Supuestos!$C$15)*((B151-Supuestos!$I$23:$I$35)&lt;=Supuestos!$C$16)*(MOD((B151-Supuestos!$I$23:$I$35)-Supuestos!$C$15,6)=0))/Supuestos!$C$17</f>
        <v>16.0133333333333</v>
      </c>
      <c r="F151" s="26" t="n">
        <f aca="false">F150+D151-E151</f>
        <v>32.03</v>
      </c>
      <c r="G151" s="17" t="n">
        <f aca="false">F151/Supuestos!$C$5</f>
        <v>0.133402748854644</v>
      </c>
      <c r="H151" s="26" t="n">
        <f aca="false">MAX(0,F150-Supuestos!$C$18)</f>
        <v>0</v>
      </c>
      <c r="I151" s="18" t="n">
        <f aca="false">IF(F151&gt;Supuestos!$C$18,I150+1,0)</f>
        <v>0</v>
      </c>
      <c r="J151" s="26" t="n">
        <f aca="false">F150*Supuestos!$C$19/12</f>
        <v>0.138925305555556</v>
      </c>
      <c r="K151" s="26" t="n">
        <f aca="false">H151*Supuestos!$C$11/12</f>
        <v>0</v>
      </c>
      <c r="L151" s="26" t="n">
        <f aca="false">IF(I150&gt;Supuestos!$C$12,H151*Supuestos!$C$13/12,0)</f>
        <v>0</v>
      </c>
      <c r="M151" s="26" t="n">
        <f aca="false">D151*Supuestos!$C$14</f>
        <v>0</v>
      </c>
      <c r="N151" s="26" t="n">
        <f aca="false">SUM(J151:M151)</f>
        <v>0.138925305555556</v>
      </c>
      <c r="O151" s="26" t="n">
        <f aca="false">E151+N151</f>
        <v>16.1522586388889</v>
      </c>
    </row>
    <row r="152" customFormat="false" ht="15" hidden="false" customHeight="false" outlineLevel="0" collapsed="false">
      <c r="A152" s="27" t="n">
        <f aca="false">EDATE(A151,1)</f>
        <v>50771</v>
      </c>
      <c r="B152" s="18" t="n">
        <f aca="false">YEAR(A152)*12+MONTH(A152)</f>
        <v>24469</v>
      </c>
      <c r="C152" s="18" t="n">
        <f aca="false">YEAR(A152)</f>
        <v>2039</v>
      </c>
      <c r="D152" s="26" t="n">
        <f aca="false">SUMIF(Supuestos!$I$23:$I$35,B152,Supuestos!$D$23:$D$35)</f>
        <v>0</v>
      </c>
      <c r="E152" s="26" t="n">
        <f aca="false">SUMPRODUCT(Supuestos!$D$23:$D$35*((B152-Supuestos!$I$23:$I$35)&gt;=Supuestos!$C$15)*((B152-Supuestos!$I$23:$I$35)&lt;=Supuestos!$C$16)*(MOD((B152-Supuestos!$I$23:$I$35)-Supuestos!$C$15,6)=0))/Supuestos!$C$17</f>
        <v>0</v>
      </c>
      <c r="F152" s="26" t="n">
        <f aca="false">F151+D152-E152</f>
        <v>32.03</v>
      </c>
      <c r="G152" s="17" t="n">
        <f aca="false">F152/Supuestos!$C$5</f>
        <v>0.133402748854644</v>
      </c>
      <c r="H152" s="26" t="n">
        <f aca="false">MAX(0,F151-Supuestos!$C$18)</f>
        <v>0</v>
      </c>
      <c r="I152" s="18" t="n">
        <f aca="false">IF(F152&gt;Supuestos!$C$18,I151+1,0)</f>
        <v>0</v>
      </c>
      <c r="J152" s="26" t="n">
        <f aca="false">F151*Supuestos!$C$19/12</f>
        <v>0.0926200833333334</v>
      </c>
      <c r="K152" s="26" t="n">
        <f aca="false">H152*Supuestos!$C$11/12</f>
        <v>0</v>
      </c>
      <c r="L152" s="26" t="n">
        <f aca="false">IF(I151&gt;Supuestos!$C$12,H152*Supuestos!$C$13/12,0)</f>
        <v>0</v>
      </c>
      <c r="M152" s="26" t="n">
        <f aca="false">D152*Supuestos!$C$14</f>
        <v>0</v>
      </c>
      <c r="N152" s="26" t="n">
        <f aca="false">SUM(J152:M152)</f>
        <v>0.0926200833333334</v>
      </c>
      <c r="O152" s="26" t="n">
        <f aca="false">E152+N152</f>
        <v>0.0926200833333334</v>
      </c>
    </row>
    <row r="153" customFormat="false" ht="15" hidden="false" customHeight="false" outlineLevel="0" collapsed="false">
      <c r="A153" s="27" t="n">
        <f aca="false">EDATE(A152,1)</f>
        <v>50802</v>
      </c>
      <c r="B153" s="18" t="n">
        <f aca="false">YEAR(A153)*12+MONTH(A153)</f>
        <v>24470</v>
      </c>
      <c r="C153" s="18" t="n">
        <f aca="false">YEAR(A153)</f>
        <v>2039</v>
      </c>
      <c r="D153" s="26" t="n">
        <f aca="false">SUMIF(Supuestos!$I$23:$I$35,B153,Supuestos!$D$23:$D$35)</f>
        <v>0</v>
      </c>
      <c r="E153" s="26" t="n">
        <f aca="false">SUMPRODUCT(Supuestos!$D$23:$D$35*((B153-Supuestos!$I$23:$I$35)&gt;=Supuestos!$C$15)*((B153-Supuestos!$I$23:$I$35)&lt;=Supuestos!$C$16)*(MOD((B153-Supuestos!$I$23:$I$35)-Supuestos!$C$15,6)=0))/Supuestos!$C$17</f>
        <v>0</v>
      </c>
      <c r="F153" s="26" t="n">
        <f aca="false">F152+D153-E153</f>
        <v>32.03</v>
      </c>
      <c r="G153" s="17" t="n">
        <f aca="false">F153/Supuestos!$C$5</f>
        <v>0.133402748854644</v>
      </c>
      <c r="H153" s="26" t="n">
        <f aca="false">MAX(0,F152-Supuestos!$C$18)</f>
        <v>0</v>
      </c>
      <c r="I153" s="18" t="n">
        <f aca="false">IF(F153&gt;Supuestos!$C$18,I152+1,0)</f>
        <v>0</v>
      </c>
      <c r="J153" s="26" t="n">
        <f aca="false">F152*Supuestos!$C$19/12</f>
        <v>0.0926200833333334</v>
      </c>
      <c r="K153" s="26" t="n">
        <f aca="false">H153*Supuestos!$C$11/12</f>
        <v>0</v>
      </c>
      <c r="L153" s="26" t="n">
        <f aca="false">IF(I152&gt;Supuestos!$C$12,H153*Supuestos!$C$13/12,0)</f>
        <v>0</v>
      </c>
      <c r="M153" s="26" t="n">
        <f aca="false">D153*Supuestos!$C$14</f>
        <v>0</v>
      </c>
      <c r="N153" s="26" t="n">
        <f aca="false">SUM(J153:M153)</f>
        <v>0.0926200833333334</v>
      </c>
      <c r="O153" s="26" t="n">
        <f aca="false">E153+N153</f>
        <v>0.0926200833333334</v>
      </c>
    </row>
    <row r="154" customFormat="false" ht="15" hidden="false" customHeight="false" outlineLevel="0" collapsed="false">
      <c r="A154" s="27" t="n">
        <f aca="false">EDATE(A153,1)</f>
        <v>50830</v>
      </c>
      <c r="B154" s="18" t="n">
        <f aca="false">YEAR(A154)*12+MONTH(A154)</f>
        <v>24471</v>
      </c>
      <c r="C154" s="18" t="n">
        <f aca="false">YEAR(A154)</f>
        <v>2039</v>
      </c>
      <c r="D154" s="26" t="n">
        <f aca="false">SUMIF(Supuestos!$I$23:$I$35,B154,Supuestos!$D$23:$D$35)</f>
        <v>0</v>
      </c>
      <c r="E154" s="26" t="n">
        <f aca="false">SUMPRODUCT(Supuestos!$D$23:$D$35*((B154-Supuestos!$I$23:$I$35)&gt;=Supuestos!$C$15)*((B154-Supuestos!$I$23:$I$35)&lt;=Supuestos!$C$16)*(MOD((B154-Supuestos!$I$23:$I$35)-Supuestos!$C$15,6)=0))/Supuestos!$C$17</f>
        <v>16.015</v>
      </c>
      <c r="F154" s="26" t="n">
        <f aca="false">F153+D154-E154</f>
        <v>16.015</v>
      </c>
      <c r="G154" s="17" t="n">
        <f aca="false">F154/Supuestos!$C$5</f>
        <v>0.0667013744273221</v>
      </c>
      <c r="H154" s="26" t="n">
        <f aca="false">MAX(0,F153-Supuestos!$C$18)</f>
        <v>0</v>
      </c>
      <c r="I154" s="18" t="n">
        <f aca="false">IF(F154&gt;Supuestos!$C$18,I153+1,0)</f>
        <v>0</v>
      </c>
      <c r="J154" s="26" t="n">
        <f aca="false">F153*Supuestos!$C$19/12</f>
        <v>0.0926200833333334</v>
      </c>
      <c r="K154" s="26" t="n">
        <f aca="false">H154*Supuestos!$C$11/12</f>
        <v>0</v>
      </c>
      <c r="L154" s="26" t="n">
        <f aca="false">IF(I153&gt;Supuestos!$C$12,H154*Supuestos!$C$13/12,0)</f>
        <v>0</v>
      </c>
      <c r="M154" s="26" t="n">
        <f aca="false">D154*Supuestos!$C$14</f>
        <v>0</v>
      </c>
      <c r="N154" s="26" t="n">
        <f aca="false">SUM(J154:M154)</f>
        <v>0.0926200833333334</v>
      </c>
      <c r="O154" s="26" t="n">
        <f aca="false">E154+N154</f>
        <v>16.1076200833333</v>
      </c>
    </row>
    <row r="155" customFormat="false" ht="15" hidden="false" customHeight="false" outlineLevel="0" collapsed="false">
      <c r="A155" s="27" t="n">
        <f aca="false">EDATE(A154,1)</f>
        <v>50861</v>
      </c>
      <c r="B155" s="18" t="n">
        <f aca="false">YEAR(A155)*12+MONTH(A155)</f>
        <v>24472</v>
      </c>
      <c r="C155" s="18" t="n">
        <f aca="false">YEAR(A155)</f>
        <v>2039</v>
      </c>
      <c r="D155" s="26" t="n">
        <f aca="false">SUMIF(Supuestos!$I$23:$I$35,B155,Supuestos!$D$23:$D$35)</f>
        <v>0</v>
      </c>
      <c r="E155" s="26" t="n">
        <f aca="false">SUMPRODUCT(Supuestos!$D$23:$D$35*((B155-Supuestos!$I$23:$I$35)&gt;=Supuestos!$C$15)*((B155-Supuestos!$I$23:$I$35)&lt;=Supuestos!$C$16)*(MOD((B155-Supuestos!$I$23:$I$35)-Supuestos!$C$15,6)=0))/Supuestos!$C$17</f>
        <v>0</v>
      </c>
      <c r="F155" s="26" t="n">
        <f aca="false">F154+D155-E155</f>
        <v>16.015</v>
      </c>
      <c r="G155" s="17" t="n">
        <f aca="false">F155/Supuestos!$C$5</f>
        <v>0.0667013744273221</v>
      </c>
      <c r="H155" s="26" t="n">
        <f aca="false">MAX(0,F154-Supuestos!$C$18)</f>
        <v>0</v>
      </c>
      <c r="I155" s="18" t="n">
        <f aca="false">IF(F155&gt;Supuestos!$C$18,I154+1,0)</f>
        <v>0</v>
      </c>
      <c r="J155" s="26" t="n">
        <f aca="false">F154*Supuestos!$C$19/12</f>
        <v>0.0463100416666667</v>
      </c>
      <c r="K155" s="26" t="n">
        <f aca="false">H155*Supuestos!$C$11/12</f>
        <v>0</v>
      </c>
      <c r="L155" s="26" t="n">
        <f aca="false">IF(I154&gt;Supuestos!$C$12,H155*Supuestos!$C$13/12,0)</f>
        <v>0</v>
      </c>
      <c r="M155" s="26" t="n">
        <f aca="false">D155*Supuestos!$C$14</f>
        <v>0</v>
      </c>
      <c r="N155" s="26" t="n">
        <f aca="false">SUM(J155:M155)</f>
        <v>0.0463100416666667</v>
      </c>
      <c r="O155" s="26" t="n">
        <f aca="false">E155+N155</f>
        <v>0.0463100416666667</v>
      </c>
    </row>
    <row r="156" customFormat="false" ht="15" hidden="false" customHeight="false" outlineLevel="0" collapsed="false">
      <c r="A156" s="27" t="n">
        <f aca="false">EDATE(A155,1)</f>
        <v>50891</v>
      </c>
      <c r="B156" s="18" t="n">
        <f aca="false">YEAR(A156)*12+MONTH(A156)</f>
        <v>24473</v>
      </c>
      <c r="C156" s="18" t="n">
        <f aca="false">YEAR(A156)</f>
        <v>2039</v>
      </c>
      <c r="D156" s="26" t="n">
        <f aca="false">SUMIF(Supuestos!$I$23:$I$35,B156,Supuestos!$D$23:$D$35)</f>
        <v>0</v>
      </c>
      <c r="E156" s="26" t="n">
        <f aca="false">SUMPRODUCT(Supuestos!$D$23:$D$35*((B156-Supuestos!$I$23:$I$35)&gt;=Supuestos!$C$15)*((B156-Supuestos!$I$23:$I$35)&lt;=Supuestos!$C$16)*(MOD((B156-Supuestos!$I$23:$I$35)-Supuestos!$C$15,6)=0))/Supuestos!$C$17</f>
        <v>0</v>
      </c>
      <c r="F156" s="26" t="n">
        <f aca="false">F155+D156-E156</f>
        <v>16.015</v>
      </c>
      <c r="G156" s="17" t="n">
        <f aca="false">F156/Supuestos!$C$5</f>
        <v>0.0667013744273221</v>
      </c>
      <c r="H156" s="26" t="n">
        <f aca="false">MAX(0,F155-Supuestos!$C$18)</f>
        <v>0</v>
      </c>
      <c r="I156" s="18" t="n">
        <f aca="false">IF(F156&gt;Supuestos!$C$18,I155+1,0)</f>
        <v>0</v>
      </c>
      <c r="J156" s="26" t="n">
        <f aca="false">F155*Supuestos!$C$19/12</f>
        <v>0.0463100416666667</v>
      </c>
      <c r="K156" s="26" t="n">
        <f aca="false">H156*Supuestos!$C$11/12</f>
        <v>0</v>
      </c>
      <c r="L156" s="26" t="n">
        <f aca="false">IF(I155&gt;Supuestos!$C$12,H156*Supuestos!$C$13/12,0)</f>
        <v>0</v>
      </c>
      <c r="M156" s="26" t="n">
        <f aca="false">D156*Supuestos!$C$14</f>
        <v>0</v>
      </c>
      <c r="N156" s="26" t="n">
        <f aca="false">SUM(J156:M156)</f>
        <v>0.0463100416666667</v>
      </c>
      <c r="O156" s="26" t="n">
        <f aca="false">E156+N156</f>
        <v>0.0463100416666667</v>
      </c>
    </row>
    <row r="157" customFormat="false" ht="15" hidden="false" customHeight="false" outlineLevel="0" collapsed="false">
      <c r="A157" s="27" t="n">
        <f aca="false">EDATE(A156,1)</f>
        <v>50922</v>
      </c>
      <c r="B157" s="18" t="n">
        <f aca="false">YEAR(A157)*12+MONTH(A157)</f>
        <v>24474</v>
      </c>
      <c r="C157" s="18" t="n">
        <f aca="false">YEAR(A157)</f>
        <v>2039</v>
      </c>
      <c r="D157" s="26" t="n">
        <f aca="false">SUMIF(Supuestos!$I$23:$I$35,B157,Supuestos!$D$23:$D$35)</f>
        <v>0</v>
      </c>
      <c r="E157" s="26" t="n">
        <f aca="false">SUMPRODUCT(Supuestos!$D$23:$D$35*((B157-Supuestos!$I$23:$I$35)&gt;=Supuestos!$C$15)*((B157-Supuestos!$I$23:$I$35)&lt;=Supuestos!$C$16)*(MOD((B157-Supuestos!$I$23:$I$35)-Supuestos!$C$15,6)=0))/Supuestos!$C$17</f>
        <v>8.00666666666667</v>
      </c>
      <c r="F157" s="26" t="n">
        <f aca="false">F156+D157-E157</f>
        <v>8.00833333333336</v>
      </c>
      <c r="G157" s="17" t="n">
        <f aca="false">F157/Supuestos!$C$5</f>
        <v>0.0333541579897266</v>
      </c>
      <c r="H157" s="26" t="n">
        <f aca="false">MAX(0,F156-Supuestos!$C$18)</f>
        <v>0</v>
      </c>
      <c r="I157" s="18" t="n">
        <f aca="false">IF(F157&gt;Supuestos!$C$18,I156+1,0)</f>
        <v>0</v>
      </c>
      <c r="J157" s="26" t="n">
        <f aca="false">F156*Supuestos!$C$19/12</f>
        <v>0.0463100416666667</v>
      </c>
      <c r="K157" s="26" t="n">
        <f aca="false">H157*Supuestos!$C$11/12</f>
        <v>0</v>
      </c>
      <c r="L157" s="26" t="n">
        <f aca="false">IF(I156&gt;Supuestos!$C$12,H157*Supuestos!$C$13/12,0)</f>
        <v>0</v>
      </c>
      <c r="M157" s="26" t="n">
        <f aca="false">D157*Supuestos!$C$14</f>
        <v>0</v>
      </c>
      <c r="N157" s="26" t="n">
        <f aca="false">SUM(J157:M157)</f>
        <v>0.0463100416666667</v>
      </c>
      <c r="O157" s="26" t="n">
        <f aca="false">E157+N157</f>
        <v>8.05297670833333</v>
      </c>
    </row>
    <row r="158" customFormat="false" ht="15" hidden="false" customHeight="false" outlineLevel="0" collapsed="false">
      <c r="A158" s="27" t="n">
        <f aca="false">EDATE(A157,1)</f>
        <v>50952</v>
      </c>
      <c r="B158" s="18" t="n">
        <f aca="false">YEAR(A158)*12+MONTH(A158)</f>
        <v>24475</v>
      </c>
      <c r="C158" s="18" t="n">
        <f aca="false">YEAR(A158)</f>
        <v>2039</v>
      </c>
      <c r="D158" s="26" t="n">
        <f aca="false">SUMIF(Supuestos!$I$23:$I$35,B158,Supuestos!$D$23:$D$35)</f>
        <v>0</v>
      </c>
      <c r="E158" s="26" t="n">
        <f aca="false">SUMPRODUCT(Supuestos!$D$23:$D$35*((B158-Supuestos!$I$23:$I$35)&gt;=Supuestos!$C$15)*((B158-Supuestos!$I$23:$I$35)&lt;=Supuestos!$C$16)*(MOD((B158-Supuestos!$I$23:$I$35)-Supuestos!$C$15,6)=0))/Supuestos!$C$17</f>
        <v>0</v>
      </c>
      <c r="F158" s="26" t="n">
        <f aca="false">F157+D158-E158</f>
        <v>8.00833333333336</v>
      </c>
      <c r="G158" s="17" t="n">
        <f aca="false">F158/Supuestos!$C$5</f>
        <v>0.0333541579897266</v>
      </c>
      <c r="H158" s="26" t="n">
        <f aca="false">MAX(0,F157-Supuestos!$C$18)</f>
        <v>0</v>
      </c>
      <c r="I158" s="18" t="n">
        <f aca="false">IF(F158&gt;Supuestos!$C$18,I157+1,0)</f>
        <v>0</v>
      </c>
      <c r="J158" s="26" t="n">
        <f aca="false">F157*Supuestos!$C$19/12</f>
        <v>0.0231574305555556</v>
      </c>
      <c r="K158" s="26" t="n">
        <f aca="false">H158*Supuestos!$C$11/12</f>
        <v>0</v>
      </c>
      <c r="L158" s="26" t="n">
        <f aca="false">IF(I157&gt;Supuestos!$C$12,H158*Supuestos!$C$13/12,0)</f>
        <v>0</v>
      </c>
      <c r="M158" s="26" t="n">
        <f aca="false">D158*Supuestos!$C$14</f>
        <v>0</v>
      </c>
      <c r="N158" s="26" t="n">
        <f aca="false">SUM(J158:M158)</f>
        <v>0.0231574305555556</v>
      </c>
      <c r="O158" s="26" t="n">
        <f aca="false">E158+N158</f>
        <v>0.0231574305555556</v>
      </c>
    </row>
    <row r="159" customFormat="false" ht="15" hidden="false" customHeight="false" outlineLevel="0" collapsed="false">
      <c r="A159" s="27" t="n">
        <f aca="false">EDATE(A158,1)</f>
        <v>50983</v>
      </c>
      <c r="B159" s="18" t="n">
        <f aca="false">YEAR(A159)*12+MONTH(A159)</f>
        <v>24476</v>
      </c>
      <c r="C159" s="18" t="n">
        <f aca="false">YEAR(A159)</f>
        <v>2039</v>
      </c>
      <c r="D159" s="26" t="n">
        <f aca="false">SUMIF(Supuestos!$I$23:$I$35,B159,Supuestos!$D$23:$D$35)</f>
        <v>0</v>
      </c>
      <c r="E159" s="26" t="n">
        <f aca="false">SUMPRODUCT(Supuestos!$D$23:$D$35*((B159-Supuestos!$I$23:$I$35)&gt;=Supuestos!$C$15)*((B159-Supuestos!$I$23:$I$35)&lt;=Supuestos!$C$16)*(MOD((B159-Supuestos!$I$23:$I$35)-Supuestos!$C$15,6)=0))/Supuestos!$C$17</f>
        <v>0</v>
      </c>
      <c r="F159" s="26" t="n">
        <f aca="false">F158+D159-E159</f>
        <v>8.00833333333336</v>
      </c>
      <c r="G159" s="17" t="n">
        <f aca="false">F159/Supuestos!$C$5</f>
        <v>0.0333541579897266</v>
      </c>
      <c r="H159" s="26" t="n">
        <f aca="false">MAX(0,F158-Supuestos!$C$18)</f>
        <v>0</v>
      </c>
      <c r="I159" s="18" t="n">
        <f aca="false">IF(F159&gt;Supuestos!$C$18,I158+1,0)</f>
        <v>0</v>
      </c>
      <c r="J159" s="26" t="n">
        <f aca="false">F158*Supuestos!$C$19/12</f>
        <v>0.0231574305555556</v>
      </c>
      <c r="K159" s="26" t="n">
        <f aca="false">H159*Supuestos!$C$11/12</f>
        <v>0</v>
      </c>
      <c r="L159" s="26" t="n">
        <f aca="false">IF(I158&gt;Supuestos!$C$12,H159*Supuestos!$C$13/12,0)</f>
        <v>0</v>
      </c>
      <c r="M159" s="26" t="n">
        <f aca="false">D159*Supuestos!$C$14</f>
        <v>0</v>
      </c>
      <c r="N159" s="26" t="n">
        <f aca="false">SUM(J159:M159)</f>
        <v>0.0231574305555556</v>
      </c>
      <c r="O159" s="26" t="n">
        <f aca="false">E159+N159</f>
        <v>0.0231574305555556</v>
      </c>
    </row>
    <row r="160" customFormat="false" ht="15" hidden="false" customHeight="false" outlineLevel="0" collapsed="false">
      <c r="A160" s="27" t="n">
        <f aca="false">EDATE(A159,1)</f>
        <v>51014</v>
      </c>
      <c r="B160" s="18" t="n">
        <f aca="false">YEAR(A160)*12+MONTH(A160)</f>
        <v>24477</v>
      </c>
      <c r="C160" s="18" t="n">
        <f aca="false">YEAR(A160)</f>
        <v>2039</v>
      </c>
      <c r="D160" s="26" t="n">
        <f aca="false">SUMIF(Supuestos!$I$23:$I$35,B160,Supuestos!$D$23:$D$35)</f>
        <v>0</v>
      </c>
      <c r="E160" s="26" t="n">
        <f aca="false">SUMPRODUCT(Supuestos!$D$23:$D$35*((B160-Supuestos!$I$23:$I$35)&gt;=Supuestos!$C$15)*((B160-Supuestos!$I$23:$I$35)&lt;=Supuestos!$C$16)*(MOD((B160-Supuestos!$I$23:$I$35)-Supuestos!$C$15,6)=0))/Supuestos!$C$17</f>
        <v>8.00833333333333</v>
      </c>
      <c r="F160" s="26" t="n">
        <f aca="false">F159+D160-E160</f>
        <v>3.37507799486048E-014</v>
      </c>
      <c r="G160" s="17" t="n">
        <f aca="false">F160/Supuestos!$C$5</f>
        <v>1.40569679086234E-016</v>
      </c>
      <c r="H160" s="26" t="n">
        <f aca="false">MAX(0,F159-Supuestos!$C$18)</f>
        <v>0</v>
      </c>
      <c r="I160" s="18" t="n">
        <f aca="false">IF(F160&gt;Supuestos!$C$18,I159+1,0)</f>
        <v>0</v>
      </c>
      <c r="J160" s="26" t="n">
        <f aca="false">F159*Supuestos!$C$19/12</f>
        <v>0.0231574305555556</v>
      </c>
      <c r="K160" s="26" t="n">
        <f aca="false">H160*Supuestos!$C$11/12</f>
        <v>0</v>
      </c>
      <c r="L160" s="26" t="n">
        <f aca="false">IF(I159&gt;Supuestos!$C$12,H160*Supuestos!$C$13/12,0)</f>
        <v>0</v>
      </c>
      <c r="M160" s="26" t="n">
        <f aca="false">D160*Supuestos!$C$14</f>
        <v>0</v>
      </c>
      <c r="N160" s="26" t="n">
        <f aca="false">SUM(J160:M160)</f>
        <v>0.0231574305555556</v>
      </c>
      <c r="O160" s="26" t="n">
        <f aca="false">E160+N160</f>
        <v>8.03149076388888</v>
      </c>
    </row>
    <row r="161" customFormat="false" ht="15" hidden="false" customHeight="false" outlineLevel="0" collapsed="false">
      <c r="A161" s="27" t="n">
        <f aca="false">EDATE(A160,1)</f>
        <v>51044</v>
      </c>
      <c r="B161" s="18" t="n">
        <f aca="false">YEAR(A161)*12+MONTH(A161)</f>
        <v>24478</v>
      </c>
      <c r="C161" s="18" t="n">
        <f aca="false">YEAR(A161)</f>
        <v>2039</v>
      </c>
      <c r="D161" s="26" t="n">
        <f aca="false">SUMIF(Supuestos!$I$23:$I$35,B161,Supuestos!$D$23:$D$35)</f>
        <v>0</v>
      </c>
      <c r="E161" s="26" t="n">
        <f aca="false">SUMPRODUCT(Supuestos!$D$23:$D$35*((B161-Supuestos!$I$23:$I$35)&gt;=Supuestos!$C$15)*((B161-Supuestos!$I$23:$I$35)&lt;=Supuestos!$C$16)*(MOD((B161-Supuestos!$I$23:$I$35)-Supuestos!$C$15,6)=0))/Supuestos!$C$17</f>
        <v>0</v>
      </c>
      <c r="F161" s="26" t="n">
        <f aca="false">F160+D161-E161</f>
        <v>3.37507799486048E-014</v>
      </c>
      <c r="G161" s="17" t="n">
        <f aca="false">F161/Supuestos!$C$5</f>
        <v>1.40569679086234E-016</v>
      </c>
      <c r="H161" s="26" t="n">
        <f aca="false">MAX(0,F160-Supuestos!$C$18)</f>
        <v>0</v>
      </c>
      <c r="I161" s="18" t="n">
        <f aca="false">IF(F161&gt;Supuestos!$C$18,I160+1,0)</f>
        <v>0</v>
      </c>
      <c r="J161" s="26" t="n">
        <f aca="false">F160*Supuestos!$C$19/12</f>
        <v>9.75960053513821E-017</v>
      </c>
      <c r="K161" s="26" t="n">
        <f aca="false">H161*Supuestos!$C$11/12</f>
        <v>0</v>
      </c>
      <c r="L161" s="26" t="n">
        <f aca="false">IF(I160&gt;Supuestos!$C$12,H161*Supuestos!$C$13/12,0)</f>
        <v>0</v>
      </c>
      <c r="M161" s="26" t="n">
        <f aca="false">D161*Supuestos!$C$14</f>
        <v>0</v>
      </c>
      <c r="N161" s="26" t="n">
        <f aca="false">SUM(J161:M161)</f>
        <v>9.75960053513821E-017</v>
      </c>
      <c r="O161" s="26" t="n">
        <f aca="false">E161+N161</f>
        <v>9.75960053513821E-017</v>
      </c>
    </row>
    <row r="162" customFormat="false" ht="15" hidden="false" customHeight="false" outlineLevel="0" collapsed="false">
      <c r="A162" s="27" t="n">
        <f aca="false">EDATE(A161,1)</f>
        <v>51075</v>
      </c>
      <c r="B162" s="18" t="n">
        <f aca="false">YEAR(A162)*12+MONTH(A162)</f>
        <v>24479</v>
      </c>
      <c r="C162" s="18" t="n">
        <f aca="false">YEAR(A162)</f>
        <v>2039</v>
      </c>
      <c r="D162" s="26" t="n">
        <f aca="false">SUMIF(Supuestos!$I$23:$I$35,B162,Supuestos!$D$23:$D$35)</f>
        <v>0</v>
      </c>
      <c r="E162" s="26" t="n">
        <f aca="false">SUMPRODUCT(Supuestos!$D$23:$D$35*((B162-Supuestos!$I$23:$I$35)&gt;=Supuestos!$C$15)*((B162-Supuestos!$I$23:$I$35)&lt;=Supuestos!$C$16)*(MOD((B162-Supuestos!$I$23:$I$35)-Supuestos!$C$15,6)=0))/Supuestos!$C$17</f>
        <v>0</v>
      </c>
      <c r="F162" s="26" t="n">
        <f aca="false">F161+D162-E162</f>
        <v>3.37507799486048E-014</v>
      </c>
      <c r="G162" s="17" t="n">
        <f aca="false">F162/Supuestos!$C$5</f>
        <v>1.40569679086234E-016</v>
      </c>
      <c r="H162" s="26" t="n">
        <f aca="false">MAX(0,F161-Supuestos!$C$18)</f>
        <v>0</v>
      </c>
      <c r="I162" s="18" t="n">
        <f aca="false">IF(F162&gt;Supuestos!$C$18,I161+1,0)</f>
        <v>0</v>
      </c>
      <c r="J162" s="26" t="n">
        <f aca="false">F161*Supuestos!$C$19/12</f>
        <v>9.75960053513821E-017</v>
      </c>
      <c r="K162" s="26" t="n">
        <f aca="false">H162*Supuestos!$C$11/12</f>
        <v>0</v>
      </c>
      <c r="L162" s="26" t="n">
        <f aca="false">IF(I161&gt;Supuestos!$C$12,H162*Supuestos!$C$13/12,0)</f>
        <v>0</v>
      </c>
      <c r="M162" s="26" t="n">
        <f aca="false">D162*Supuestos!$C$14</f>
        <v>0</v>
      </c>
      <c r="N162" s="26" t="n">
        <f aca="false">SUM(J162:M162)</f>
        <v>9.75960053513821E-017</v>
      </c>
      <c r="O162" s="26" t="n">
        <f aca="false">E162+N162</f>
        <v>9.75960053513821E-017</v>
      </c>
    </row>
    <row r="163" customFormat="false" ht="15" hidden="false" customHeight="false" outlineLevel="0" collapsed="false">
      <c r="A163" s="27" t="n">
        <f aca="false">EDATE(A162,1)</f>
        <v>51105</v>
      </c>
      <c r="B163" s="18" t="n">
        <f aca="false">YEAR(A163)*12+MONTH(A163)</f>
        <v>24480</v>
      </c>
      <c r="C163" s="18" t="n">
        <f aca="false">YEAR(A163)</f>
        <v>2039</v>
      </c>
      <c r="D163" s="26" t="n">
        <f aca="false">SUMIF(Supuestos!$I$23:$I$35,B163,Supuestos!$D$23:$D$35)</f>
        <v>0</v>
      </c>
      <c r="E163" s="26" t="n">
        <f aca="false">SUMPRODUCT(Supuestos!$D$23:$D$35*((B163-Supuestos!$I$23:$I$35)&gt;=Supuestos!$C$15)*((B163-Supuestos!$I$23:$I$35)&lt;=Supuestos!$C$16)*(MOD((B163-Supuestos!$I$23:$I$35)-Supuestos!$C$15,6)=0))/Supuestos!$C$17</f>
        <v>0</v>
      </c>
      <c r="F163" s="26" t="n">
        <f aca="false">F162+D163-E163</f>
        <v>3.37507799486048E-014</v>
      </c>
      <c r="G163" s="17" t="n">
        <f aca="false">F163/Supuestos!$C$5</f>
        <v>1.40569679086234E-016</v>
      </c>
      <c r="H163" s="26" t="n">
        <f aca="false">MAX(0,F162-Supuestos!$C$18)</f>
        <v>0</v>
      </c>
      <c r="I163" s="18" t="n">
        <f aca="false">IF(F163&gt;Supuestos!$C$18,I162+1,0)</f>
        <v>0</v>
      </c>
      <c r="J163" s="26" t="n">
        <f aca="false">F162*Supuestos!$C$19/12</f>
        <v>9.75960053513821E-017</v>
      </c>
      <c r="K163" s="26" t="n">
        <f aca="false">H163*Supuestos!$C$11/12</f>
        <v>0</v>
      </c>
      <c r="L163" s="26" t="n">
        <f aca="false">IF(I162&gt;Supuestos!$C$12,H163*Supuestos!$C$13/12,0)</f>
        <v>0</v>
      </c>
      <c r="M163" s="26" t="n">
        <f aca="false">D163*Supuestos!$C$14</f>
        <v>0</v>
      </c>
      <c r="N163" s="26" t="n">
        <f aca="false">SUM(J163:M163)</f>
        <v>9.75960053513821E-017</v>
      </c>
      <c r="O163" s="26" t="n">
        <f aca="false">E163+N163</f>
        <v>9.75960053513821E-017</v>
      </c>
    </row>
  </sheetData>
  <conditionalFormatting sqref="D5:D163">
    <cfRule type="expression" priority="2" aboveAverage="0" equalAverage="0" bottom="0" percent="0" rank="0" text="" dxfId="0">
      <formula>D5&gt;0</formula>
    </cfRule>
  </conditionalFormatting>
  <conditionalFormatting sqref="E5:E163">
    <cfRule type="expression" priority="3" aboveAverage="0" equalAverage="0" bottom="0" percent="0" rank="0" text="" dxfId="1">
      <formula>E5&gt;0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7" min="2" style="0" width="12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B4" s="14" t="s">
        <v>79</v>
      </c>
      <c r="L4" s="14" t="s">
        <v>80</v>
      </c>
    </row>
    <row r="5" customFormat="false" ht="43.5" hidden="false" customHeight="true" outlineLevel="0" collapsed="false">
      <c r="A5" s="3" t="s">
        <v>66</v>
      </c>
      <c r="B5" s="3" t="s">
        <v>81</v>
      </c>
      <c r="C5" s="3" t="s">
        <v>82</v>
      </c>
      <c r="D5" s="3" t="s">
        <v>73</v>
      </c>
      <c r="E5" s="3" t="s">
        <v>83</v>
      </c>
      <c r="F5" s="3" t="s">
        <v>74</v>
      </c>
      <c r="G5" s="3" t="s">
        <v>75</v>
      </c>
      <c r="H5" s="3" t="s">
        <v>84</v>
      </c>
      <c r="I5" s="3" t="s">
        <v>85</v>
      </c>
      <c r="J5" s="3" t="s">
        <v>86</v>
      </c>
      <c r="K5" s="3" t="s">
        <v>70</v>
      </c>
      <c r="L5" s="3" t="s">
        <v>87</v>
      </c>
      <c r="M5" s="3" t="s">
        <v>88</v>
      </c>
      <c r="N5" s="3" t="s">
        <v>89</v>
      </c>
      <c r="O5" s="3" t="s">
        <v>90</v>
      </c>
      <c r="P5" s="3" t="s">
        <v>91</v>
      </c>
      <c r="Q5" s="3" t="s">
        <v>92</v>
      </c>
    </row>
    <row r="6" customFormat="false" ht="15" hidden="false" customHeight="false" outlineLevel="0" collapsed="false">
      <c r="A6" s="4" t="s">
        <v>93</v>
      </c>
      <c r="B6" s="16" t="n">
        <f aca="false">SUMIF(Mensual!$C$5:$C$163,VALUE(A6),Mensual!$D$5:$D$163)</f>
        <v>312.1</v>
      </c>
      <c r="C6" s="16" t="n">
        <f aca="false">SUMIF(Mensual!$C$5:$C$163,VALUE(A6),Mensual!$E$5:$E$163)</f>
        <v>0</v>
      </c>
      <c r="D6" s="16" t="n">
        <f aca="false">SUMIF(Mensual!$C$5:$C$163,VALUE(A6),Mensual!$J$5:$J$163)</f>
        <v>0.902778333333333</v>
      </c>
      <c r="E6" s="16" t="n">
        <f aca="false">SUMIF(Mensual!$C$5:$C$163,VALUE(A6),Mensual!$K$5:$K$163)+SUMIF(Mensual!$C$5:$C$163,VALUE(A6),Mensual!$L$5:$L$163)</f>
        <v>0</v>
      </c>
      <c r="F6" s="16" t="n">
        <f aca="false">SUMIF(Mensual!$C$5:$C$163,VALUE(A6),Mensual!$M$5:$M$163)</f>
        <v>1.5605</v>
      </c>
      <c r="G6" s="16" t="n">
        <f aca="false">D6+E6+F6</f>
        <v>2.46327833333333</v>
      </c>
      <c r="H6" s="16" t="n">
        <f aca="false">C6+G6</f>
        <v>2.46327833333333</v>
      </c>
      <c r="I6" s="16" t="n">
        <f aca="false">B6-H6</f>
        <v>309.636721666667</v>
      </c>
      <c r="J6" s="16" t="n">
        <f aca="false">SUMIF(Mensual!$B$5:$B$163,VALUE(A6)*12+12,Mensual!$F$5:$F$163)</f>
        <v>312.1</v>
      </c>
      <c r="K6" s="17" t="n">
        <f aca="false">J6/Supuestos!$C$5</f>
        <v>1.29987505206164</v>
      </c>
      <c r="L6" s="16" t="n">
        <f aca="false">B6*Supuestos!$C$7</f>
        <v>422.464638052531</v>
      </c>
      <c r="M6" s="16" t="n">
        <f aca="false">C6*Supuestos!$C$7</f>
        <v>0</v>
      </c>
      <c r="N6" s="16" t="n">
        <f aca="false">G6*Supuestos!$C$7</f>
        <v>3.33434152359599</v>
      </c>
      <c r="O6" s="16" t="n">
        <f aca="false">H6*Supuestos!$C$7</f>
        <v>3.33434152359599</v>
      </c>
      <c r="P6" s="16" t="n">
        <f aca="false">I6*Supuestos!$C$7</f>
        <v>419.130296528935</v>
      </c>
      <c r="Q6" s="16" t="n">
        <f aca="false">J6*Supuestos!$C$7</f>
        <v>422.464638052531</v>
      </c>
    </row>
    <row r="7" customFormat="false" ht="15" hidden="false" customHeight="false" outlineLevel="0" collapsed="false">
      <c r="A7" s="4" t="s">
        <v>94</v>
      </c>
      <c r="B7" s="16" t="n">
        <f aca="false">SUMIF(Mensual!$C$5:$C$163,VALUE(A7),Mensual!$D$5:$D$163)</f>
        <v>384.32</v>
      </c>
      <c r="C7" s="16" t="n">
        <f aca="false">SUMIF(Mensual!$C$5:$C$163,VALUE(A7),Mensual!$E$5:$E$163)</f>
        <v>0</v>
      </c>
      <c r="D7" s="16" t="n">
        <f aca="false">SUMIF(Mensual!$C$5:$C$163,VALUE(A7),Mensual!$J$5:$J$163)</f>
        <v>15.830834</v>
      </c>
      <c r="E7" s="16" t="n">
        <f aca="false">SUMIF(Mensual!$C$5:$C$163,VALUE(A7),Mensual!$K$5:$K$163)+SUMIF(Mensual!$C$5:$C$163,VALUE(A7),Mensual!$L$5:$L$163)</f>
        <v>0</v>
      </c>
      <c r="F7" s="16" t="n">
        <f aca="false">SUMIF(Mensual!$C$5:$C$163,VALUE(A7),Mensual!$M$5:$M$163)</f>
        <v>1.9216</v>
      </c>
      <c r="G7" s="16" t="n">
        <f aca="false">D7+E7+F7</f>
        <v>17.752434</v>
      </c>
      <c r="H7" s="16" t="n">
        <f aca="false">C7+G7</f>
        <v>17.752434</v>
      </c>
      <c r="I7" s="16" t="n">
        <f aca="false">B7-H7</f>
        <v>366.567566</v>
      </c>
      <c r="J7" s="16" t="n">
        <f aca="false">SUMIF(Mensual!$B$5:$B$163,VALUE(A7)*12+12,Mensual!$F$5:$F$163)</f>
        <v>696.42</v>
      </c>
      <c r="K7" s="17" t="n">
        <f aca="false">J7/Supuestos!$C$5</f>
        <v>2.90054144106622</v>
      </c>
      <c r="L7" s="16" t="n">
        <f aca="false">B7*Supuestos!$C$7</f>
        <v>520.223036515054</v>
      </c>
      <c r="M7" s="16" t="n">
        <f aca="false">C7*Supuestos!$C$7</f>
        <v>0</v>
      </c>
      <c r="N7" s="16" t="n">
        <f aca="false">G7*Supuestos!$C$7</f>
        <v>24.0300403856502</v>
      </c>
      <c r="O7" s="16" t="n">
        <f aca="false">H7*Supuestos!$C$7</f>
        <v>24.0300403856502</v>
      </c>
      <c r="P7" s="16" t="n">
        <f aca="false">I7*Supuestos!$C$7</f>
        <v>496.192996129404</v>
      </c>
      <c r="Q7" s="16" t="n">
        <f aca="false">J7*Supuestos!$C$7</f>
        <v>942.687674567585</v>
      </c>
    </row>
    <row r="8" customFormat="false" ht="15" hidden="false" customHeight="false" outlineLevel="0" collapsed="false">
      <c r="A8" s="4" t="s">
        <v>95</v>
      </c>
      <c r="B8" s="16" t="n">
        <f aca="false">SUMIF(Mensual!$C$5:$C$163,VALUE(A8),Mensual!$D$5:$D$163)</f>
        <v>384.32</v>
      </c>
      <c r="C8" s="16" t="n">
        <f aca="false">SUMIF(Mensual!$C$5:$C$163,VALUE(A8),Mensual!$E$5:$E$163)</f>
        <v>0</v>
      </c>
      <c r="D8" s="16" t="n">
        <f aca="false">SUMIF(Mensual!$C$5:$C$163,VALUE(A8),Mensual!$J$5:$J$163)</f>
        <v>29.166738</v>
      </c>
      <c r="E8" s="16" t="n">
        <f aca="false">SUMIF(Mensual!$C$5:$C$163,VALUE(A8),Mensual!$K$5:$K$163)+SUMIF(Mensual!$C$5:$C$163,VALUE(A8),Mensual!$L$5:$L$163)</f>
        <v>2.5242</v>
      </c>
      <c r="F8" s="16" t="n">
        <f aca="false">SUMIF(Mensual!$C$5:$C$163,VALUE(A8),Mensual!$M$5:$M$163)</f>
        <v>1.9216</v>
      </c>
      <c r="G8" s="16" t="n">
        <f aca="false">D8+E8+F8</f>
        <v>33.612538</v>
      </c>
      <c r="H8" s="16" t="n">
        <f aca="false">C8+G8</f>
        <v>33.612538</v>
      </c>
      <c r="I8" s="16" t="n">
        <f aca="false">B8-H8</f>
        <v>350.707462</v>
      </c>
      <c r="J8" s="16" t="n">
        <f aca="false">SUMIF(Mensual!$B$5:$B$163,VALUE(A8)*12+12,Mensual!$F$5:$F$163)</f>
        <v>1080.74</v>
      </c>
      <c r="K8" s="17" t="n">
        <f aca="false">J8/Supuestos!$C$5</f>
        <v>4.50120783007081</v>
      </c>
      <c r="L8" s="16" t="n">
        <f aca="false">B8*Supuestos!$C$7</f>
        <v>520.223036515054</v>
      </c>
      <c r="M8" s="16" t="n">
        <f aca="false">C8*Supuestos!$C$7</f>
        <v>0</v>
      </c>
      <c r="N8" s="16" t="n">
        <f aca="false">G8*Supuestos!$C$7</f>
        <v>45.4985860307495</v>
      </c>
      <c r="O8" s="16" t="n">
        <f aca="false">H8*Supuestos!$C$7</f>
        <v>45.4985860307495</v>
      </c>
      <c r="P8" s="16" t="n">
        <f aca="false">I8*Supuestos!$C$7</f>
        <v>474.724450484305</v>
      </c>
      <c r="Q8" s="16" t="n">
        <f aca="false">J8*Supuestos!$C$7</f>
        <v>1462.91071108264</v>
      </c>
    </row>
    <row r="9" customFormat="false" ht="15" hidden="false" customHeight="false" outlineLevel="0" collapsed="false">
      <c r="A9" s="4" t="s">
        <v>96</v>
      </c>
      <c r="B9" s="16" t="n">
        <f aca="false">SUMIF(Mensual!$C$5:$C$163,VALUE(A9),Mensual!$D$5:$D$163)</f>
        <v>288.26</v>
      </c>
      <c r="C9" s="16" t="n">
        <f aca="false">SUMIF(Mensual!$C$5:$C$163,VALUE(A9),Mensual!$E$5:$E$163)</f>
        <v>0</v>
      </c>
      <c r="D9" s="16" t="n">
        <f aca="false">SUMIF(Mensual!$C$5:$C$163,VALUE(A9),Mensual!$J$5:$J$163)</f>
        <v>42.5028155</v>
      </c>
      <c r="E9" s="16" t="n">
        <f aca="false">SUMIF(Mensual!$C$5:$C$163,VALUE(A9),Mensual!$K$5:$K$163)+SUMIF(Mensual!$C$5:$C$163,VALUE(A9),Mensual!$L$5:$L$163)</f>
        <v>10.0913</v>
      </c>
      <c r="F9" s="16" t="n">
        <f aca="false">SUMIF(Mensual!$C$5:$C$163,VALUE(A9),Mensual!$M$5:$M$163)</f>
        <v>1.4413</v>
      </c>
      <c r="G9" s="16" t="n">
        <f aca="false">D9+E9+F9</f>
        <v>54.0354155</v>
      </c>
      <c r="H9" s="16" t="n">
        <f aca="false">C9+G9</f>
        <v>54.0354155</v>
      </c>
      <c r="I9" s="16" t="n">
        <f aca="false">B9-H9</f>
        <v>234.2245845</v>
      </c>
      <c r="J9" s="16" t="n">
        <f aca="false">SUMIF(Mensual!$B$5:$B$163,VALUE(A9)*12+12,Mensual!$F$5:$F$163)</f>
        <v>1369</v>
      </c>
      <c r="K9" s="17" t="n">
        <f aca="false">J9/Supuestos!$C$5</f>
        <v>5.70179092044981</v>
      </c>
      <c r="L9" s="16" t="n">
        <f aca="false">B9*Supuestos!$C$7</f>
        <v>390.194349775785</v>
      </c>
      <c r="M9" s="16" t="n">
        <f aca="false">C9*Supuestos!$C$7</f>
        <v>0</v>
      </c>
      <c r="N9" s="16" t="n">
        <f aca="false">G9*Supuestos!$C$7</f>
        <v>73.1433907440743</v>
      </c>
      <c r="O9" s="16" t="n">
        <f aca="false">H9*Supuestos!$C$7</f>
        <v>73.1433907440743</v>
      </c>
      <c r="P9" s="16" t="n">
        <f aca="false">I9*Supuestos!$C$7</f>
        <v>317.05095903171</v>
      </c>
      <c r="Q9" s="16" t="n">
        <f aca="false">J9*Supuestos!$C$7</f>
        <v>1853.10506085842</v>
      </c>
    </row>
    <row r="10" customFormat="false" ht="15" hidden="false" customHeight="false" outlineLevel="0" collapsed="false">
      <c r="A10" s="4" t="s">
        <v>97</v>
      </c>
      <c r="B10" s="16" t="n">
        <f aca="false">SUMIF(Mensual!$C$5:$C$163,VALUE(A10),Mensual!$D$5:$D$163)</f>
        <v>0</v>
      </c>
      <c r="C10" s="16" t="n">
        <f aca="false">SUMIF(Mensual!$C$5:$C$163,VALUE(A10),Mensual!$E$5:$E$163)</f>
        <v>0</v>
      </c>
      <c r="D10" s="16" t="n">
        <f aca="false">SUMIF(Mensual!$C$5:$C$163,VALUE(A10),Mensual!$J$5:$J$163)</f>
        <v>47.5043</v>
      </c>
      <c r="E10" s="16" t="n">
        <f aca="false">SUMIF(Mensual!$C$5:$C$163,VALUE(A10),Mensual!$K$5:$K$163)+SUMIF(Mensual!$C$5:$C$163,VALUE(A10),Mensual!$L$5:$L$163)</f>
        <v>12.974</v>
      </c>
      <c r="F10" s="16" t="n">
        <f aca="false">SUMIF(Mensual!$C$5:$C$163,VALUE(A10),Mensual!$M$5:$M$163)</f>
        <v>0</v>
      </c>
      <c r="G10" s="16" t="n">
        <f aca="false">D10+E10+F10</f>
        <v>60.4783</v>
      </c>
      <c r="H10" s="16" t="n">
        <f aca="false">C10+G10</f>
        <v>60.4783</v>
      </c>
      <c r="I10" s="16" t="n">
        <f aca="false">B10-H10</f>
        <v>-60.4783</v>
      </c>
      <c r="J10" s="16" t="n">
        <f aca="false">SUMIF(Mensual!$B$5:$B$163,VALUE(A10)*12+12,Mensual!$F$5:$F$163)</f>
        <v>1369</v>
      </c>
      <c r="K10" s="17" t="n">
        <f aca="false">J10/Supuestos!$C$5</f>
        <v>5.70179092044981</v>
      </c>
      <c r="L10" s="16" t="n">
        <f aca="false">B10*Supuestos!$C$7</f>
        <v>0</v>
      </c>
      <c r="M10" s="16" t="n">
        <f aca="false">C10*Supuestos!$C$7</f>
        <v>0</v>
      </c>
      <c r="N10" s="16" t="n">
        <f aca="false">G10*Supuestos!$C$7</f>
        <v>81.8646046764894</v>
      </c>
      <c r="O10" s="16" t="n">
        <f aca="false">H10*Supuestos!$C$7</f>
        <v>81.8646046764894</v>
      </c>
      <c r="P10" s="16" t="n">
        <f aca="false">I10*Supuestos!$C$7</f>
        <v>-81.8646046764894</v>
      </c>
      <c r="Q10" s="16" t="n">
        <f aca="false">J10*Supuestos!$C$7</f>
        <v>1853.10506085842</v>
      </c>
    </row>
    <row r="11" customFormat="false" ht="15" hidden="false" customHeight="false" outlineLevel="0" collapsed="false">
      <c r="A11" s="4" t="s">
        <v>98</v>
      </c>
      <c r="B11" s="16" t="n">
        <f aca="false">SUMIF(Mensual!$C$5:$C$163,VALUE(A11),Mensual!$D$5:$D$163)</f>
        <v>0</v>
      </c>
      <c r="C11" s="16" t="n">
        <f aca="false">SUMIF(Mensual!$C$5:$C$163,VALUE(A11),Mensual!$E$5:$E$163)</f>
        <v>68.03</v>
      </c>
      <c r="D11" s="16" t="n">
        <f aca="false">SUMIF(Mensual!$C$5:$C$163,VALUE(A11),Mensual!$J$5:$J$163)</f>
        <v>46.8331345277778</v>
      </c>
      <c r="E11" s="16" t="n">
        <f aca="false">SUMIF(Mensual!$C$5:$C$163,VALUE(A11),Mensual!$K$5:$K$163)+SUMIF(Mensual!$C$5:$C$163,VALUE(A11),Mensual!$L$5:$L$163)</f>
        <v>12.5871611111111</v>
      </c>
      <c r="F11" s="16" t="n">
        <f aca="false">SUMIF(Mensual!$C$5:$C$163,VALUE(A11),Mensual!$M$5:$M$163)</f>
        <v>0</v>
      </c>
      <c r="G11" s="16" t="n">
        <f aca="false">D11+E11+F11</f>
        <v>59.4202956388889</v>
      </c>
      <c r="H11" s="16" t="n">
        <f aca="false">C11+G11</f>
        <v>127.450295638889</v>
      </c>
      <c r="I11" s="16" t="n">
        <f aca="false">B11-H11</f>
        <v>-127.450295638889</v>
      </c>
      <c r="J11" s="16" t="n">
        <f aca="false">SUMIF(Mensual!$B$5:$B$163,VALUE(A11)*12+12,Mensual!$F$5:$F$163)</f>
        <v>1300.97</v>
      </c>
      <c r="K11" s="17" t="n">
        <f aca="false">J11/Supuestos!$C$5</f>
        <v>5.41845064556435</v>
      </c>
      <c r="L11" s="16" t="n">
        <f aca="false">B11*Supuestos!$C$7</f>
        <v>0</v>
      </c>
      <c r="M11" s="16" t="n">
        <f aca="false">C11*Supuestos!$C$7</f>
        <v>92.086732863549</v>
      </c>
      <c r="N11" s="16" t="n">
        <f aca="false">G11*Supuestos!$C$7</f>
        <v>80.4324693689764</v>
      </c>
      <c r="O11" s="16" t="n">
        <f aca="false">H11*Supuestos!$C$7</f>
        <v>172.519202232525</v>
      </c>
      <c r="P11" s="16" t="n">
        <f aca="false">I11*Supuestos!$C$7</f>
        <v>-172.519202232525</v>
      </c>
      <c r="Q11" s="16" t="n">
        <f aca="false">J11*Supuestos!$C$7</f>
        <v>1761.01832799487</v>
      </c>
    </row>
    <row r="12" customFormat="false" ht="15" hidden="false" customHeight="false" outlineLevel="0" collapsed="false">
      <c r="A12" s="4" t="s">
        <v>99</v>
      </c>
      <c r="B12" s="16" t="n">
        <f aca="false">SUMIF(Mensual!$C$5:$C$163,VALUE(A12),Mensual!$D$5:$D$163)</f>
        <v>0</v>
      </c>
      <c r="C12" s="16" t="n">
        <f aca="false">SUMIF(Mensual!$C$5:$C$163,VALUE(A12),Mensual!$E$5:$E$163)</f>
        <v>132.083333333333</v>
      </c>
      <c r="D12" s="16" t="n">
        <f aca="false">SUMIF(Mensual!$C$5:$C$163,VALUE(A12),Mensual!$J$5:$J$163)</f>
        <v>43.6389995277778</v>
      </c>
      <c r="E12" s="16" t="n">
        <f aca="false">SUMIF(Mensual!$C$5:$C$163,VALUE(A12),Mensual!$K$5:$K$163)+SUMIF(Mensual!$C$5:$C$163,VALUE(A12),Mensual!$L$5:$L$163)</f>
        <v>12.6447444444444</v>
      </c>
      <c r="F12" s="16" t="n">
        <f aca="false">SUMIF(Mensual!$C$5:$C$163,VALUE(A12),Mensual!$M$5:$M$163)</f>
        <v>0</v>
      </c>
      <c r="G12" s="16" t="n">
        <f aca="false">D12+E12+F12</f>
        <v>56.2837439722222</v>
      </c>
      <c r="H12" s="16" t="n">
        <f aca="false">C12+G12</f>
        <v>188.367077305556</v>
      </c>
      <c r="I12" s="16" t="n">
        <f aca="false">B12-H12</f>
        <v>-188.367077305556</v>
      </c>
      <c r="J12" s="16" t="n">
        <f aca="false">SUMIF(Mensual!$B$5:$B$163,VALUE(A12)*12+12,Mensual!$F$5:$F$163)</f>
        <v>1168.88666666667</v>
      </c>
      <c r="K12" s="17" t="n">
        <f aca="false">J12/Supuestos!$C$5</f>
        <v>4.86833263917812</v>
      </c>
      <c r="L12" s="16" t="n">
        <f aca="false">B12*Supuestos!$C$7</f>
        <v>0</v>
      </c>
      <c r="M12" s="16" t="n">
        <f aca="false">C12*Supuestos!$C$7</f>
        <v>178.790572282725</v>
      </c>
      <c r="N12" s="16" t="n">
        <f aca="false">G12*Supuestos!$C$7</f>
        <v>76.1867719495872</v>
      </c>
      <c r="O12" s="16" t="n">
        <f aca="false">H12*Supuestos!$C$7</f>
        <v>254.977344232312</v>
      </c>
      <c r="P12" s="16" t="n">
        <f aca="false">I12*Supuestos!$C$7</f>
        <v>-254.977344232312</v>
      </c>
      <c r="Q12" s="16" t="n">
        <f aca="false">J12*Supuestos!$C$7</f>
        <v>1582.22775571215</v>
      </c>
    </row>
    <row r="13" customFormat="false" ht="15" hidden="false" customHeight="false" outlineLevel="0" collapsed="false">
      <c r="A13" s="4" t="s">
        <v>100</v>
      </c>
      <c r="B13" s="16" t="n">
        <f aca="false">SUMIF(Mensual!$C$5:$C$163,VALUE(A13),Mensual!$D$5:$D$163)</f>
        <v>0</v>
      </c>
      <c r="C13" s="16" t="n">
        <f aca="false">SUMIF(Mensual!$C$5:$C$163,VALUE(A13),Mensual!$E$5:$E$163)</f>
        <v>196.136666666667</v>
      </c>
      <c r="D13" s="16" t="n">
        <f aca="false">SUMIF(Mensual!$C$5:$C$163,VALUE(A13),Mensual!$J$5:$J$163)</f>
        <v>38.2222138611111</v>
      </c>
      <c r="E13" s="16" t="n">
        <f aca="false">SUMIF(Mensual!$C$5:$C$163,VALUE(A13),Mensual!$K$5:$K$163)+SUMIF(Mensual!$C$5:$C$163,VALUE(A13),Mensual!$L$5:$L$163)</f>
        <v>10.4831298611111</v>
      </c>
      <c r="F13" s="16" t="n">
        <f aca="false">SUMIF(Mensual!$C$5:$C$163,VALUE(A13),Mensual!$M$5:$M$163)</f>
        <v>0</v>
      </c>
      <c r="G13" s="16" t="n">
        <f aca="false">D13+E13+F13</f>
        <v>48.7053437222222</v>
      </c>
      <c r="H13" s="16" t="n">
        <f aca="false">C13+G13</f>
        <v>244.842010388889</v>
      </c>
      <c r="I13" s="16" t="n">
        <f aca="false">B13-H13</f>
        <v>-244.842010388889</v>
      </c>
      <c r="J13" s="16" t="n">
        <f aca="false">SUMIF(Mensual!$B$5:$B$163,VALUE(A13)*12+12,Mensual!$F$5:$F$163)</f>
        <v>972.75</v>
      </c>
      <c r="K13" s="17" t="n">
        <f aca="false">J13/Supuestos!$C$5</f>
        <v>4.05143690129113</v>
      </c>
      <c r="L13" s="16" t="n">
        <f aca="false">B13*Supuestos!$C$7</f>
        <v>0</v>
      </c>
      <c r="M13" s="16" t="n">
        <f aca="false">C13*Supuestos!$C$7</f>
        <v>265.494411701901</v>
      </c>
      <c r="N13" s="16" t="n">
        <f aca="false">G13*Supuestos!$C$7</f>
        <v>65.9285017841483</v>
      </c>
      <c r="O13" s="16" t="n">
        <f aca="false">H13*Supuestos!$C$7</f>
        <v>331.422913486049</v>
      </c>
      <c r="P13" s="16" t="n">
        <f aca="false">I13*Supuestos!$C$7</f>
        <v>-331.422913486049</v>
      </c>
      <c r="Q13" s="16" t="n">
        <f aca="false">J13*Supuestos!$C$7</f>
        <v>1316.73334401025</v>
      </c>
    </row>
    <row r="14" customFormat="false" ht="15" hidden="false" customHeight="false" outlineLevel="0" collapsed="false">
      <c r="A14" s="4" t="s">
        <v>101</v>
      </c>
      <c r="B14" s="16" t="n">
        <f aca="false">SUMIF(Mensual!$C$5:$C$163,VALUE(A14),Mensual!$D$5:$D$163)</f>
        <v>0</v>
      </c>
      <c r="C14" s="16" t="n">
        <f aca="false">SUMIF(Mensual!$C$5:$C$163,VALUE(A14),Mensual!$E$5:$E$163)</f>
        <v>228.166666666667</v>
      </c>
      <c r="D14" s="16" t="n">
        <f aca="false">SUMIF(Mensual!$C$5:$C$163,VALUE(A14),Mensual!$J$5:$J$163)</f>
        <v>30.7910931944444</v>
      </c>
      <c r="E14" s="16" t="n">
        <f aca="false">SUMIF(Mensual!$C$5:$C$163,VALUE(A14),Mensual!$K$5:$K$163)+SUMIF(Mensual!$C$5:$C$163,VALUE(A14),Mensual!$L$5:$L$163)</f>
        <v>4.59391319444443</v>
      </c>
      <c r="F14" s="16" t="n">
        <f aca="false">SUMIF(Mensual!$C$5:$C$163,VALUE(A14),Mensual!$M$5:$M$163)</f>
        <v>0</v>
      </c>
      <c r="G14" s="16" t="n">
        <f aca="false">D14+E14+F14</f>
        <v>35.3850063888889</v>
      </c>
      <c r="H14" s="16" t="n">
        <f aca="false">C14+G14</f>
        <v>263.551673055556</v>
      </c>
      <c r="I14" s="16" t="n">
        <f aca="false">B14-H14</f>
        <v>-263.551673055556</v>
      </c>
      <c r="J14" s="16" t="n">
        <f aca="false">SUMIF(Mensual!$B$5:$B$163,VALUE(A14)*12+12,Mensual!$F$5:$F$163)</f>
        <v>744.583333333333</v>
      </c>
      <c r="K14" s="17" t="n">
        <f aca="false">J14/Supuestos!$C$5</f>
        <v>3.10113841454949</v>
      </c>
      <c r="L14" s="16" t="n">
        <f aca="false">B14*Supuestos!$C$7</f>
        <v>0</v>
      </c>
      <c r="M14" s="16" t="n">
        <f aca="false">C14*Supuestos!$C$7</f>
        <v>308.850843476404</v>
      </c>
      <c r="N14" s="16" t="n">
        <f aca="false">G14*Supuestos!$C$7</f>
        <v>47.897833760232</v>
      </c>
      <c r="O14" s="16" t="n">
        <f aca="false">H14*Supuestos!$C$7</f>
        <v>356.748677236636</v>
      </c>
      <c r="P14" s="16" t="n">
        <f aca="false">I14*Supuestos!$C$7</f>
        <v>-356.748677236636</v>
      </c>
      <c r="Q14" s="16" t="n">
        <f aca="false">J14*Supuestos!$C$7</f>
        <v>1007.88250053385</v>
      </c>
    </row>
    <row r="15" customFormat="false" ht="15" hidden="false" customHeight="false" outlineLevel="0" collapsed="false">
      <c r="A15" s="4" t="s">
        <v>102</v>
      </c>
      <c r="B15" s="16" t="n">
        <f aca="false">SUMIF(Mensual!$C$5:$C$163,VALUE(A15),Mensual!$D$5:$D$163)</f>
        <v>0</v>
      </c>
      <c r="C15" s="16" t="n">
        <f aca="false">SUMIF(Mensual!$C$5:$C$163,VALUE(A15),Mensual!$E$5:$E$163)</f>
        <v>228.166666666667</v>
      </c>
      <c r="D15" s="16" t="n">
        <f aca="false">SUMIF(Mensual!$C$5:$C$163,VALUE(A15),Mensual!$J$5:$J$163)</f>
        <v>22.8737098611111</v>
      </c>
      <c r="E15" s="16" t="n">
        <f aca="false">SUMIF(Mensual!$C$5:$C$163,VALUE(A15),Mensual!$K$5:$K$163)+SUMIF(Mensual!$C$5:$C$163,VALUE(A15),Mensual!$L$5:$L$163)</f>
        <v>0.166947916666665</v>
      </c>
      <c r="F15" s="16" t="n">
        <f aca="false">SUMIF(Mensual!$C$5:$C$163,VALUE(A15),Mensual!$M$5:$M$163)</f>
        <v>0</v>
      </c>
      <c r="G15" s="16" t="n">
        <f aca="false">D15+E15+F15</f>
        <v>23.0406577777778</v>
      </c>
      <c r="H15" s="16" t="n">
        <f aca="false">C15+G15</f>
        <v>251.207324444444</v>
      </c>
      <c r="I15" s="16" t="n">
        <f aca="false">B15-H15</f>
        <v>-251.207324444444</v>
      </c>
      <c r="J15" s="16" t="n">
        <f aca="false">SUMIF(Mensual!$B$5:$B$163,VALUE(A15)*12+12,Mensual!$F$5:$F$163)</f>
        <v>516.416666666667</v>
      </c>
      <c r="K15" s="17" t="n">
        <f aca="false">J15/Supuestos!$C$5</f>
        <v>2.15083992780786</v>
      </c>
      <c r="L15" s="16" t="n">
        <f aca="false">B15*Supuestos!$C$7</f>
        <v>0</v>
      </c>
      <c r="M15" s="16" t="n">
        <f aca="false">C15*Supuestos!$C$7</f>
        <v>308.850843476404</v>
      </c>
      <c r="N15" s="16" t="n">
        <f aca="false">G15*Supuestos!$C$7</f>
        <v>31.1882830777991</v>
      </c>
      <c r="O15" s="16" t="n">
        <f aca="false">H15*Supuestos!$C$7</f>
        <v>340.039126554203</v>
      </c>
      <c r="P15" s="16" t="n">
        <f aca="false">I15*Supuestos!$C$7</f>
        <v>-340.039126554203</v>
      </c>
      <c r="Q15" s="16" t="n">
        <f aca="false">J15*Supuestos!$C$7</f>
        <v>699.031657057442</v>
      </c>
    </row>
    <row r="16" customFormat="false" ht="15" hidden="false" customHeight="false" outlineLevel="0" collapsed="false">
      <c r="A16" s="4" t="s">
        <v>103</v>
      </c>
      <c r="B16" s="16" t="n">
        <f aca="false">SUMIF(Mensual!$C$5:$C$163,VALUE(A16),Mensual!$D$5:$D$163)</f>
        <v>0</v>
      </c>
      <c r="C16" s="16" t="n">
        <f aca="false">SUMIF(Mensual!$C$5:$C$163,VALUE(A16),Mensual!$E$5:$E$163)</f>
        <v>228.166666666667</v>
      </c>
      <c r="D16" s="16" t="n">
        <f aca="false">SUMIF(Mensual!$C$5:$C$163,VALUE(A16),Mensual!$J$5:$J$163)</f>
        <v>14.9563265277778</v>
      </c>
      <c r="E16" s="16" t="n">
        <f aca="false">SUMIF(Mensual!$C$5:$C$163,VALUE(A16),Mensual!$K$5:$K$163)+SUMIF(Mensual!$C$5:$C$163,VALUE(A16),Mensual!$L$5:$L$163)</f>
        <v>0</v>
      </c>
      <c r="F16" s="16" t="n">
        <f aca="false">SUMIF(Mensual!$C$5:$C$163,VALUE(A16),Mensual!$M$5:$M$163)</f>
        <v>0</v>
      </c>
      <c r="G16" s="16" t="n">
        <f aca="false">D16+E16+F16</f>
        <v>14.9563265277778</v>
      </c>
      <c r="H16" s="16" t="n">
        <f aca="false">C16+G16</f>
        <v>243.122993194444</v>
      </c>
      <c r="I16" s="16" t="n">
        <f aca="false">B16-H16</f>
        <v>-243.122993194444</v>
      </c>
      <c r="J16" s="16" t="n">
        <f aca="false">SUMIF(Mensual!$B$5:$B$163,VALUE(A16)*12+12,Mensual!$F$5:$F$163)</f>
        <v>288.25</v>
      </c>
      <c r="K16" s="17" t="n">
        <f aca="false">J16/Supuestos!$C$5</f>
        <v>1.20054144106622</v>
      </c>
      <c r="L16" s="16" t="n">
        <f aca="false">B16*Supuestos!$C$7</f>
        <v>0</v>
      </c>
      <c r="M16" s="16" t="n">
        <f aca="false">C16*Supuestos!$C$7</f>
        <v>308.850843476404</v>
      </c>
      <c r="N16" s="16" t="n">
        <f aca="false">G16*Supuestos!$C$7</f>
        <v>20.245174857908</v>
      </c>
      <c r="O16" s="16" t="n">
        <f aca="false">H16*Supuestos!$C$7</f>
        <v>329.096018334312</v>
      </c>
      <c r="P16" s="16" t="n">
        <f aca="false">I16*Supuestos!$C$7</f>
        <v>-329.096018334312</v>
      </c>
      <c r="Q16" s="16" t="n">
        <f aca="false">J16*Supuestos!$C$7</f>
        <v>390.180813581038</v>
      </c>
    </row>
    <row r="17" customFormat="false" ht="15" hidden="false" customHeight="false" outlineLevel="0" collapsed="false">
      <c r="A17" s="4" t="s">
        <v>104</v>
      </c>
      <c r="B17" s="16" t="n">
        <f aca="false">SUMIF(Mensual!$C$5:$C$163,VALUE(A17),Mensual!$D$5:$D$163)</f>
        <v>0</v>
      </c>
      <c r="C17" s="16" t="n">
        <f aca="false">SUMIF(Mensual!$C$5:$C$163,VALUE(A17),Mensual!$E$5:$E$163)</f>
        <v>160.136666666667</v>
      </c>
      <c r="D17" s="16" t="n">
        <f aca="false">SUMIF(Mensual!$C$5:$C$163,VALUE(A17),Mensual!$J$5:$J$163)</f>
        <v>7.71010866666667</v>
      </c>
      <c r="E17" s="16" t="n">
        <f aca="false">SUMIF(Mensual!$C$5:$C$163,VALUE(A17),Mensual!$K$5:$K$163)+SUMIF(Mensual!$C$5:$C$163,VALUE(A17),Mensual!$L$5:$L$163)</f>
        <v>0</v>
      </c>
      <c r="F17" s="16" t="n">
        <f aca="false">SUMIF(Mensual!$C$5:$C$163,VALUE(A17),Mensual!$M$5:$M$163)</f>
        <v>0</v>
      </c>
      <c r="G17" s="16" t="n">
        <f aca="false">D17+E17+F17</f>
        <v>7.71010866666667</v>
      </c>
      <c r="H17" s="16" t="n">
        <f aca="false">C17+G17</f>
        <v>167.846775333333</v>
      </c>
      <c r="I17" s="16" t="n">
        <f aca="false">B17-H17</f>
        <v>-167.846775333333</v>
      </c>
      <c r="J17" s="16" t="n">
        <f aca="false">SUMIF(Mensual!$B$5:$B$163,VALUE(A17)*12+12,Mensual!$F$5:$F$163)</f>
        <v>128.113333333333</v>
      </c>
      <c r="K17" s="17" t="n">
        <f aca="false">J17/Supuestos!$C$5</f>
        <v>0.533583229210051</v>
      </c>
      <c r="L17" s="16" t="n">
        <f aca="false">B17*Supuestos!$C$7</f>
        <v>0</v>
      </c>
      <c r="M17" s="16" t="n">
        <f aca="false">C17*Supuestos!$C$7</f>
        <v>216.764110612855</v>
      </c>
      <c r="N17" s="16" t="n">
        <f aca="false">G17*Supuestos!$C$7</f>
        <v>10.4365532432202</v>
      </c>
      <c r="O17" s="16" t="n">
        <f aca="false">H17*Supuestos!$C$7</f>
        <v>227.200663856075</v>
      </c>
      <c r="P17" s="16" t="n">
        <f aca="false">I17*Supuestos!$C$7</f>
        <v>-227.200663856075</v>
      </c>
      <c r="Q17" s="16" t="n">
        <f aca="false">J17*Supuestos!$C$7</f>
        <v>173.416702968183</v>
      </c>
    </row>
    <row r="18" customFormat="false" ht="15" hidden="false" customHeight="false" outlineLevel="0" collapsed="false">
      <c r="A18" s="4" t="s">
        <v>105</v>
      </c>
      <c r="B18" s="16" t="n">
        <f aca="false">SUMIF(Mensual!$C$5:$C$163,VALUE(A18),Mensual!$D$5:$D$163)</f>
        <v>0</v>
      </c>
      <c r="C18" s="16" t="n">
        <f aca="false">SUMIF(Mensual!$C$5:$C$163,VALUE(A18),Mensual!$E$5:$E$163)</f>
        <v>96.0833333333333</v>
      </c>
      <c r="D18" s="16" t="n">
        <f aca="false">SUMIF(Mensual!$C$5:$C$163,VALUE(A18),Mensual!$J$5:$J$163)</f>
        <v>2.98686033333333</v>
      </c>
      <c r="E18" s="16" t="n">
        <f aca="false">SUMIF(Mensual!$C$5:$C$163,VALUE(A18),Mensual!$K$5:$K$163)+SUMIF(Mensual!$C$5:$C$163,VALUE(A18),Mensual!$L$5:$L$163)</f>
        <v>0</v>
      </c>
      <c r="F18" s="16" t="n">
        <f aca="false">SUMIF(Mensual!$C$5:$C$163,VALUE(A18),Mensual!$M$5:$M$163)</f>
        <v>0</v>
      </c>
      <c r="G18" s="16" t="n">
        <f aca="false">D18+E18+F18</f>
        <v>2.98686033333333</v>
      </c>
      <c r="H18" s="16" t="n">
        <f aca="false">C18+G18</f>
        <v>99.0701936666667</v>
      </c>
      <c r="I18" s="16" t="n">
        <f aca="false">B18-H18</f>
        <v>-99.0701936666667</v>
      </c>
      <c r="J18" s="16" t="n">
        <f aca="false">SUMIF(Mensual!$B$5:$B$163,VALUE(A18)*12+12,Mensual!$F$5:$F$163)</f>
        <v>32.03</v>
      </c>
      <c r="K18" s="17" t="n">
        <f aca="false">J18/Supuestos!$C$5</f>
        <v>0.133402748854644</v>
      </c>
      <c r="L18" s="16" t="n">
        <f aca="false">B18*Supuestos!$C$7</f>
        <v>0</v>
      </c>
      <c r="M18" s="16" t="n">
        <f aca="false">C18*Supuestos!$C$7</f>
        <v>130.060271193679</v>
      </c>
      <c r="N18" s="16" t="n">
        <f aca="false">G18*Supuestos!$C$7</f>
        <v>4.04307231539612</v>
      </c>
      <c r="O18" s="16" t="n">
        <f aca="false">H18*Supuestos!$C$7</f>
        <v>134.103343509075</v>
      </c>
      <c r="P18" s="16" t="n">
        <f aca="false">I18*Supuestos!$C$7</f>
        <v>-134.103343509075</v>
      </c>
      <c r="Q18" s="16" t="n">
        <f aca="false">J18*Supuestos!$C$7</f>
        <v>43.3564317745036</v>
      </c>
    </row>
    <row r="19" customFormat="false" ht="15" hidden="false" customHeight="false" outlineLevel="0" collapsed="false">
      <c r="A19" s="4" t="s">
        <v>106</v>
      </c>
      <c r="B19" s="16" t="n">
        <f aca="false">SUMIF(Mensual!$C$5:$C$163,VALUE(A19),Mensual!$D$5:$D$163)</f>
        <v>0</v>
      </c>
      <c r="C19" s="16" t="n">
        <f aca="false">SUMIF(Mensual!$C$5:$C$163,VALUE(A19),Mensual!$E$5:$E$163)</f>
        <v>32.03</v>
      </c>
      <c r="D19" s="16" t="n">
        <f aca="false">SUMIF(Mensual!$C$5:$C$163,VALUE(A19),Mensual!$J$5:$J$163)</f>
        <v>0.486262666666668</v>
      </c>
      <c r="E19" s="16" t="n">
        <f aca="false">SUMIF(Mensual!$C$5:$C$163,VALUE(A19),Mensual!$K$5:$K$163)+SUMIF(Mensual!$C$5:$C$163,VALUE(A19),Mensual!$L$5:$L$163)</f>
        <v>0</v>
      </c>
      <c r="F19" s="16" t="n">
        <f aca="false">SUMIF(Mensual!$C$5:$C$163,VALUE(A19),Mensual!$M$5:$M$163)</f>
        <v>0</v>
      </c>
      <c r="G19" s="16" t="n">
        <f aca="false">D19+E19+F19</f>
        <v>0.486262666666668</v>
      </c>
      <c r="H19" s="16" t="n">
        <f aca="false">C19+G19</f>
        <v>32.5162626666667</v>
      </c>
      <c r="I19" s="16" t="n">
        <f aca="false">B19-H19</f>
        <v>-32.5162626666667</v>
      </c>
      <c r="J19" s="16" t="n">
        <f aca="false">SUMIF(Mensual!$B$5:$B$163,VALUE(A19)*12+12,Mensual!$F$5:$F$163)</f>
        <v>3.37507799486048E-014</v>
      </c>
      <c r="K19" s="17" t="n">
        <f aca="false">J19/Supuestos!$C$5</f>
        <v>1.40569679086234E-016</v>
      </c>
      <c r="L19" s="16" t="n">
        <f aca="false">B19*Supuestos!$C$7</f>
        <v>0</v>
      </c>
      <c r="M19" s="16" t="n">
        <f aca="false">C19*Supuestos!$C$7</f>
        <v>43.3564317745035</v>
      </c>
      <c r="N19" s="16" t="n">
        <f aca="false">G19*Supuestos!$C$7</f>
        <v>0.658214615417469</v>
      </c>
      <c r="O19" s="16" t="n">
        <f aca="false">H19*Supuestos!$C$7</f>
        <v>44.014646389921</v>
      </c>
      <c r="P19" s="16" t="n">
        <f aca="false">I19*Supuestos!$C$7</f>
        <v>-44.014646389921</v>
      </c>
      <c r="Q19" s="16" t="n">
        <f aca="false">J19*Supuestos!$C$7</f>
        <v>4.56857130246008E-014</v>
      </c>
    </row>
    <row r="20" customFormat="false" ht="15" hidden="false" customHeight="false" outlineLevel="0" collapsed="false">
      <c r="A20" s="28" t="s">
        <v>59</v>
      </c>
      <c r="B20" s="22" t="n">
        <f aca="false">SUM(B6:B19)</f>
        <v>1369</v>
      </c>
      <c r="C20" s="22" t="n">
        <f aca="false">SUM(C6:C19)</f>
        <v>1369</v>
      </c>
      <c r="D20" s="22" t="n">
        <f aca="false">SUM(D6:D19)</f>
        <v>344.406175</v>
      </c>
      <c r="E20" s="22" t="n">
        <f aca="false">SUM(E6:E19)</f>
        <v>66.0653965277778</v>
      </c>
      <c r="F20" s="22" t="n">
        <f aca="false">SUM(F6:F19)</f>
        <v>6.845</v>
      </c>
      <c r="G20" s="22" t="n">
        <f aca="false">SUM(G6:G19)</f>
        <v>417.316571527778</v>
      </c>
      <c r="H20" s="22" t="n">
        <f aca="false">SUM(H6:H19)</f>
        <v>1786.31657152778</v>
      </c>
      <c r="I20" s="22" t="n">
        <f aca="false">SUM(I6:I19)</f>
        <v>-417.316571527778</v>
      </c>
      <c r="L20" s="22" t="n">
        <f aca="false">SUM(L6:L19)</f>
        <v>1853.10506085842</v>
      </c>
      <c r="M20" s="22" t="n">
        <f aca="false">SUM(M6:M19)</f>
        <v>1853.10506085842</v>
      </c>
      <c r="N20" s="22" t="n">
        <f aca="false">SUM(N6:N19)</f>
        <v>564.887838333244</v>
      </c>
      <c r="O20" s="22" t="n">
        <f aca="false">SUM(O6:O19)</f>
        <v>2417.99289919167</v>
      </c>
      <c r="P20" s="22" t="n">
        <f aca="false">SUM(P6:P19)</f>
        <v>-564.887838333244</v>
      </c>
    </row>
    <row r="22" customFormat="false" ht="15" hidden="false" customHeight="false" outlineLevel="0" collapsed="false">
      <c r="A22" s="14" t="s">
        <v>107</v>
      </c>
    </row>
    <row r="23" customFormat="false" ht="15" hidden="false" customHeight="false" outlineLevel="0" collapsed="false">
      <c r="A23" s="4" t="s">
        <v>108</v>
      </c>
      <c r="C23" s="16" t="n">
        <f aca="false">MAX(Mensual!$F$5:$F$163)</f>
        <v>1369</v>
      </c>
    </row>
    <row r="24" customFormat="false" ht="15" hidden="false" customHeight="false" outlineLevel="0" collapsed="false">
      <c r="A24" s="4" t="s">
        <v>109</v>
      </c>
      <c r="C24" s="17" t="n">
        <f aca="false">MAX(Mensual!$G$5:$G$163)</f>
        <v>5.70179092044981</v>
      </c>
    </row>
    <row r="25" customFormat="false" ht="15" hidden="false" customHeight="false" outlineLevel="0" collapsed="false">
      <c r="A25" s="4" t="s">
        <v>110</v>
      </c>
      <c r="C25" s="19" t="n">
        <f aca="false">INDEX(Mensual!$A$5:$A$163,MATCH(MAX(Mensual!$F$5:$F$163),Mensual!$F$5:$F$163,0))</f>
        <v>47362</v>
      </c>
    </row>
    <row r="26" customFormat="false" ht="15" hidden="false" customHeight="false" outlineLevel="0" collapsed="false">
      <c r="A26" s="4" t="s">
        <v>111</v>
      </c>
      <c r="C26" s="19" t="n">
        <f aca="false">MIN(Supuestos!$J$23:$J$35)</f>
        <v>47939</v>
      </c>
    </row>
    <row r="27" customFormat="false" ht="15" hidden="false" customHeight="false" outlineLevel="0" collapsed="false">
      <c r="A27" s="4" t="s">
        <v>112</v>
      </c>
      <c r="C27" s="19" t="n">
        <f aca="false">MAX(Supuestos!$K$23:$K$35)</f>
        <v>51014</v>
      </c>
    </row>
    <row r="28" customFormat="false" ht="15" hidden="false" customHeight="false" outlineLevel="0" collapsed="false">
      <c r="A28" s="4" t="s">
        <v>113</v>
      </c>
      <c r="C28" s="29" t="str">
        <f aca="false">INDEX(A6:A19,MATCH(MAX(O6:O19),O6:O19,0))</f>
        <v>2034</v>
      </c>
    </row>
    <row r="29" customFormat="false" ht="15" hidden="false" customHeight="false" outlineLevel="0" collapsed="false">
      <c r="A29" s="4" t="s">
        <v>114</v>
      </c>
      <c r="C29" s="16" t="n">
        <f aca="false">MAX(O6:O19)</f>
        <v>356.748677236636</v>
      </c>
    </row>
    <row r="30" customFormat="false" ht="15" hidden="false" customHeight="false" outlineLevel="0" collapsed="false">
      <c r="A30" s="4" t="s">
        <v>115</v>
      </c>
      <c r="C30" s="17" t="n">
        <f aca="false">G20/B20</f>
        <v>0.304833142094797</v>
      </c>
    </row>
    <row r="31" customFormat="false" ht="15" hidden="false" customHeight="false" outlineLevel="0" collapsed="false">
      <c r="A31" s="4" t="s">
        <v>116</v>
      </c>
      <c r="C31" s="18" t="n">
        <f aca="false">COUNTIF(Mensual!$L$5:$L$163,"&gt;0")</f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117</v>
      </c>
    </row>
    <row r="3" customFormat="false" ht="30" hidden="false" customHeight="true" outlineLevel="0" collapsed="false">
      <c r="A3" s="30" t="s">
        <v>118</v>
      </c>
    </row>
    <row r="4" customFormat="false" ht="30" hidden="false" customHeight="true" outlineLevel="0" collapsed="false">
      <c r="A4" s="30" t="s">
        <v>119</v>
      </c>
    </row>
    <row r="5" customFormat="false" ht="30" hidden="false" customHeight="true" outlineLevel="0" collapsed="false">
      <c r="A5" s="30" t="s">
        <v>120</v>
      </c>
    </row>
    <row r="6" customFormat="false" ht="30" hidden="false" customHeight="true" outlineLevel="0" collapsed="false">
      <c r="A6" s="30" t="s">
        <v>121</v>
      </c>
    </row>
    <row r="7" customFormat="false" ht="30" hidden="false" customHeight="true" outlineLevel="0" collapsed="false">
      <c r="A7" s="30" t="s">
        <v>122</v>
      </c>
    </row>
    <row r="8" customFormat="false" ht="30" hidden="false" customHeight="true" outlineLevel="0" collapsed="false">
      <c r="A8" s="30" t="s">
        <v>123</v>
      </c>
    </row>
    <row r="9" customFormat="false" ht="30" hidden="false" customHeight="true" outlineLevel="0" collapsed="false">
      <c r="A9" s="30" t="s">
        <v>124</v>
      </c>
    </row>
    <row r="10" customFormat="false" ht="30" hidden="false" customHeight="true" outlineLevel="0" collapsed="false">
      <c r="A10" s="30" t="s">
        <v>125</v>
      </c>
    </row>
    <row r="12" customFormat="false" ht="15" hidden="false" customHeight="false" outlineLevel="0" collapsed="false">
      <c r="A12" s="14" t="s">
        <v>126</v>
      </c>
    </row>
    <row r="13" customFormat="false" ht="15" hidden="false" customHeight="false" outlineLevel="0" collapsed="false">
      <c r="A13" s="4" t="s">
        <v>127</v>
      </c>
      <c r="B13" s="31" t="s">
        <v>128</v>
      </c>
    </row>
    <row r="14" customFormat="false" ht="15" hidden="false" customHeight="false" outlineLevel="0" collapsed="false">
      <c r="A14" s="4" t="s">
        <v>129</v>
      </c>
      <c r="B14" s="31" t="s">
        <v>130</v>
      </c>
    </row>
    <row r="15" customFormat="false" ht="15" hidden="false" customHeight="false" outlineLevel="0" collapsed="false">
      <c r="A15" s="4" t="s">
        <v>131</v>
      </c>
      <c r="B15" s="31" t="s">
        <v>132</v>
      </c>
    </row>
    <row r="16" customFormat="false" ht="15" hidden="false" customHeight="false" outlineLevel="0" collapsed="false">
      <c r="A16" s="4" t="s">
        <v>133</v>
      </c>
      <c r="B16" s="31" t="s">
        <v>134</v>
      </c>
    </row>
    <row r="17" customFormat="false" ht="15" hidden="false" customHeight="false" outlineLevel="0" collapsed="false">
      <c r="A17" s="4" t="s">
        <v>135</v>
      </c>
      <c r="B17" s="31" t="s">
        <v>136</v>
      </c>
    </row>
    <row r="18" customFormat="false" ht="15" hidden="false" customHeight="false" outlineLevel="0" collapsed="false">
      <c r="A18" s="4" t="s">
        <v>137</v>
      </c>
      <c r="B18" s="31" t="s">
        <v>138</v>
      </c>
    </row>
  </sheetData>
  <hyperlinks>
    <hyperlink ref="B13" r:id="rId1" display="https://www.imf.org/es/news/articles/2026/10/02/pr26317-bolivia-imf-approves-36-month-eff-arrangement"/>
    <hyperlink ref="B14" r:id="rId2" display="https://eldeber.com.bo/economia/banco-central-bolivia-confirma-primer-desembolso-us-211-3-millones-fmi_1791317879"/>
    <hyperlink ref="B15" r:id="rId3" display="https://www.economy.com.bo/articulo/economia/fmi-aprueba-financiamiento-us-1900-millones-bolivia-desembolso-inmediato-us-214-millones/20261002185448024301.html"/>
    <hyperlink ref="B16" r:id="rId4" display="https://www.reduno.com.bo/economia/bolivia-recibira-us-214-millones-del-fmi-para-fortalecer-reservas-y-preve-nuevos-desembolsos-202610674812"/>
    <hyperlink ref="B17" r:id="rId5" display="https://www.imf.org/en/News/Articles/2024/10/21/pr-24385-imf-concludes-the-review-of-charges-and-surcharge-policy-and-approves-reforms"/>
    <hyperlink ref="B18" r:id="rId6" display="https://www.imf.org/en/about/faq/charges-and-surcharge-polic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2026-10-14T13:24:13Z</dcterms:created>
  <dc:creator>openpyxl</dc:creator>
  <dc:description/>
  <dc:language>en-US</dc:language>
  <cp:lastModifiedBy/>
  <dcterms:modified xsi:type="dcterms:W3CDTF">2026-10-14T13:24:16Z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